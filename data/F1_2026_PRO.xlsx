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ace Results" sheetId="2" state="visible" r:id="rId4"/>
    <sheet name="Sprint Results" sheetId="3" state="visible" r:id="rId5"/>
    <sheet name="Qualifying Results" sheetId="4" state="visible" r:id="rId6"/>
    <sheet name="Driver Standings" sheetId="5" state="visible" r:id="rId7"/>
    <sheet name="Constructor Standings" sheetId="6" state="visible" r:id="rId8"/>
    <sheet name="Points Grid" sheetId="7" state="visible" r:id="rId9"/>
    <sheet name="Head to Head" sheetId="8" state="visible" r:id="rId10"/>
    <sheet name="Form &amp; Stats" sheetId="9" state="visible" r:id="rId11"/>
    <sheet name="DNF Tracker" sheetId="10" state="visible" r:id="rId12"/>
    <sheet name="Calendar" sheetId="11" state="visible" r:id="rId13"/>
    <sheet name="What-If Simulator" sheetId="12" state="visible" r:id="rId14"/>
    <sheet name="Points System" sheetId="13" state="visible" r:id="rId15"/>
    <sheet name="Driver Bios" sheetId="14" state="visible" r:id="rId16"/>
    <sheet name="Team Info" sheetId="15" state="visible" r:id="rId17"/>
    <sheet name="Macros Guide" sheetId="16" state="visible" r:id="rId18"/>
    <sheet name="Chart Data" sheetId="17" state="hidden" r:id="rId19"/>
  </sheets>
  <definedNames>
    <definedName function="false" hidden="false" name="ConStandings" vbProcedure="false">'Constructor Standings'!$A$2:$I$12</definedName>
    <definedName function="false" hidden="false" name="DriverList" vbProcedure="false">'Driver Bios'!$B$2:$B$23</definedName>
    <definedName function="false" hidden="false" name="DrvStandings" vbProcedure="false">'Driver Standings'!$A$2:$L$23</definedName>
    <definedName function="false" hidden="false" name="PointsTable" vbProcedure="false">'Points System'!$A$2:$B$11</definedName>
    <definedName function="false" hidden="false" name="RaceList" vbProcedure="false">Calendar!$C$2:$C$25</definedName>
    <definedName function="false" hidden="false" name="ResultsRange" vbProcedure="false">'Race Results'!$A$2:$V$25</definedName>
    <definedName function="false" hidden="false" name="TeamList" vbProcedure="false">'Team Info'!$A$2:$A$11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<sst xmlns="http://schemas.openxmlformats.org/spreadsheetml/2006/main" count="1309" uniqueCount="532">
  <si>
    <t xml:space="preserve">🏎️   F1 2026 SEASON TRACKER  —  LIVE STANDINGS &amp; ANALYTICS</t>
  </si>
  <si>
    <t xml:space="preserve">RACES DONE</t>
  </si>
  <si>
    <t xml:space="preserve">WDC LEADER</t>
  </si>
  <si>
    <t xml:space="preserve">WCC LEADER</t>
  </si>
  <si>
    <t xml:space="preserve">MOST WINS</t>
  </si>
  <si>
    <t xml:space="preserve">MOST POLES</t>
  </si>
  <si>
    <t xml:space="preserve">POS</t>
  </si>
  <si>
    <t xml:space="preserve">DRIVER</t>
  </si>
  <si>
    <t xml:space="preserve">TEAM</t>
  </si>
  <si>
    <t xml:space="preserve">TOT PTS</t>
  </si>
  <si>
    <t xml:space="preserve">RACE PTS</t>
  </si>
  <si>
    <t xml:space="preserve">SPR PTS</t>
  </si>
  <si>
    <t xml:space="preserve">WINS</t>
  </si>
  <si>
    <t xml:space="preserve">PODS</t>
  </si>
  <si>
    <t xml:space="preserve">CONSTRUCTOR</t>
  </si>
  <si>
    <t xml:space="preserve">ENGINE</t>
  </si>
  <si>
    <t xml:space="preserve">PTS</t>
  </si>
  <si>
    <t xml:space="preserve">W</t>
  </si>
  <si>
    <t xml:space="preserve">FL</t>
  </si>
  <si>
    <t xml:space="preserve">LAST SPRINT RESULT</t>
  </si>
  <si>
    <t xml:space="preserve">Grand Prix</t>
  </si>
  <si>
    <t xml:space="preserve">SP Winner</t>
  </si>
  <si>
    <t xml:space="preserve">LAST RACE RESULT</t>
  </si>
  <si>
    <t xml:space="preserve">Date</t>
  </si>
  <si>
    <t xml:space="preserve">Winner</t>
  </si>
  <si>
    <t xml:space="preserve">Team</t>
  </si>
  <si>
    <t xml:space="preserve">P2</t>
  </si>
  <si>
    <t xml:space="preserve">P3</t>
  </si>
  <si>
    <t xml:space="preserve">Pole</t>
  </si>
  <si>
    <t xml:space="preserve">Fastest Lap</t>
  </si>
  <si>
    <t xml:space="preserve">Race Time</t>
  </si>
  <si>
    <t xml:space="preserve">Rnd</t>
  </si>
  <si>
    <t xml:space="preserve">Circuit</t>
  </si>
  <si>
    <t xml:space="preserve">P1 Winner</t>
  </si>
  <si>
    <t xml:space="preserve">P1 Team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</si>
  <si>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</si>
  <si>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</si>
  <si>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</si>
  <si>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</si>
  <si>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</si>
  <si>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</si>
  <si>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P10</t>
  </si>
  <si>
    <t xml:space="preserve">FL Pt?</t>
  </si>
  <si>
    <t xml:space="preserve">Laps</t>
  </si>
  <si>
    <t xml:space="preserve">SC</t>
  </si>
  <si>
    <t xml:space="preserve">Notes</t>
  </si>
  <si>
    <t xml:space="preserve">Australian Grand Prix</t>
  </si>
  <si>
    <t xml:space="preserve">08-Mar-2026</t>
  </si>
  <si>
    <t xml:space="preserve">George Russell</t>
  </si>
  <si>
    <t xml:space="preserve">Andrea Kimi Antonelli</t>
  </si>
  <si>
    <t xml:space="preserve">Charles Leclerc</t>
  </si>
  <si>
    <t xml:space="preserve">Lewis Hamilton</t>
  </si>
  <si>
    <t xml:space="preserve">Lando Norris</t>
  </si>
  <si>
    <t xml:space="preserve">Max Verstappen</t>
  </si>
  <si>
    <t xml:space="preserve">Oliver Bearman</t>
  </si>
  <si>
    <t xml:space="preserve">Arvid Lindblad</t>
  </si>
  <si>
    <t xml:space="preserve">Gabriel Bortoleto</t>
  </si>
  <si>
    <t xml:space="preserve">Pierre Gasly</t>
  </si>
  <si>
    <t xml:space="preserve">1:23:06.801</t>
  </si>
  <si>
    <t xml:space="preserve">Chinese Grand Prix</t>
  </si>
  <si>
    <t xml:space="preserve">15-Mar-2026</t>
  </si>
  <si>
    <t xml:space="preserve">Liam Lawson</t>
  </si>
  <si>
    <t xml:space="preserve">Isack Hadjar</t>
  </si>
  <si>
    <t xml:space="preserve">Carlos Sainz</t>
  </si>
  <si>
    <t xml:space="preserve">Franco Colapinto</t>
  </si>
  <si>
    <t xml:space="preserve">1:33:15.607</t>
  </si>
  <si>
    <t xml:space="preserve">Japanese Grand Prix</t>
  </si>
  <si>
    <t xml:space="preserve">29-Mar-2026</t>
  </si>
  <si>
    <t xml:space="preserve">Oscar Piastri</t>
  </si>
  <si>
    <t xml:space="preserve">Esteban Ocon</t>
  </si>
  <si>
    <t xml:space="preserve">Bearman crash lap 22 (SC); Stroll DNF water pressure; Antonelli youngest-ever championship leader</t>
  </si>
  <si>
    <t xml:space="preserve">Sprint Date</t>
  </si>
  <si>
    <t xml:space="preserve">SP1</t>
  </si>
  <si>
    <t xml:space="preserve">SP2</t>
  </si>
  <si>
    <t xml:space="preserve">SP3</t>
  </si>
  <si>
    <t xml:space="preserve">SP4</t>
  </si>
  <si>
    <t xml:space="preserve">SP5</t>
  </si>
  <si>
    <t xml:space="preserve">SP6</t>
  </si>
  <si>
    <t xml:space="preserve">SP7</t>
  </si>
  <si>
    <t xml:space="preserve">SP8</t>
  </si>
  <si>
    <t xml:space="preserve">Sprint Pole</t>
  </si>
  <si>
    <t xml:space="preserve">14-Mar-2026</t>
  </si>
  <si>
    <t xml:space="preserve">Hulkenberg DNF (SC lap 14); Bottas DNF; Lindblad DNF; Antonelli 10s penalty served in pit</t>
  </si>
  <si>
    <t xml:space="preserve">Miami Grand Prix</t>
  </si>
  <si>
    <t xml:space="preserve">Canadian Grand Prix</t>
  </si>
  <si>
    <t xml:space="preserve">British Grand Prix</t>
  </si>
  <si>
    <t xml:space="preserve">Dutch Grand Prix</t>
  </si>
  <si>
    <t xml:space="preserve">Singapore Grand Prix</t>
  </si>
  <si>
    <t xml:space="preserve">Sprint Points: P1=8  P2=7  P3=6  P4=5  P5=4  P6=3  P7=2  P8=1  |  Top 8 only  |  No Fastest Lap bonus</t>
  </si>
  <si>
    <t xml:space="preserve">Qual Date</t>
  </si>
  <si>
    <t xml:space="preserve">Pole Driver</t>
  </si>
  <si>
    <t xml:space="preserve">Pole Time</t>
  </si>
  <si>
    <t xml:space="preserve">07-Mar-2026</t>
  </si>
  <si>
    <t xml:space="preserve">1:18.518</t>
  </si>
  <si>
    <t xml:space="preserve">1:17.892</t>
  </si>
  <si>
    <t xml:space="preserve">28-Mar-2026</t>
  </si>
  <si>
    <t xml:space="preserve">1:28.778</t>
  </si>
  <si>
    <t xml:space="preserve">Verstappen eliminated in Q2 (P11); Ocon, Hulkenberg, Lawson, Colapinto, Sainz also out in Q2</t>
  </si>
  <si>
    <t xml:space="preserve">POLE POSITION LEADERBOARD</t>
  </si>
  <si>
    <t xml:space="preserve">Driver</t>
  </si>
  <si>
    <t xml:space="preserve">Poles</t>
  </si>
  <si>
    <t xml:space="preserve">Best Pole Time</t>
  </si>
  <si>
    <t xml:space="preserve">Mercedes</t>
  </si>
  <si>
    <t xml:space="preserve">Ferrari</t>
  </si>
  <si>
    <t xml:space="preserve">Haas</t>
  </si>
  <si>
    <t xml:space="preserve">McLaren</t>
  </si>
  <si>
    <t xml:space="preserve">Alpine</t>
  </si>
  <si>
    <t xml:space="preserve">Red Bull Racing</t>
  </si>
  <si>
    <t xml:space="preserve">Racing Bulls</t>
  </si>
  <si>
    <t xml:space="preserve">Williams</t>
  </si>
  <si>
    <t xml:space="preserve">Audi</t>
  </si>
  <si>
    <t xml:space="preserve">Fernando Alonso</t>
  </si>
  <si>
    <t xml:space="preserve">Aston Martin</t>
  </si>
  <si>
    <t xml:space="preserve">Lance Stroll</t>
  </si>
  <si>
    <t xml:space="preserve">Alexander Albon</t>
  </si>
  <si>
    <t xml:space="preserve">Nico Hulkenberg</t>
  </si>
  <si>
    <t xml:space="preserve">Valtteri Bottas</t>
  </si>
  <si>
    <t xml:space="preserve">Cadillac</t>
  </si>
  <si>
    <t xml:space="preserve">Sergio Pérez</t>
  </si>
  <si>
    <t xml:space="preserve">Pos</t>
  </si>
  <si>
    <t xml:space="preserve">Nationality</t>
  </si>
  <si>
    <t xml:space="preserve">Total Points</t>
  </si>
  <si>
    <t xml:space="preserve">Race Pts</t>
  </si>
  <si>
    <t xml:space="preserve">Sprint Pts</t>
  </si>
  <si>
    <t xml:space="preserve">Wins</t>
  </si>
  <si>
    <t xml:space="preserve">Podiums</t>
  </si>
  <si>
    <t xml:space="preserve">Fastest Laps</t>
  </si>
  <si>
    <t xml:space="preserve">Sprint Wins</t>
  </si>
  <si>
    <t xml:space="preserve">Points Gap</t>
  </si>
  <si>
    <t xml:space="preserve">British</t>
  </si>
  <si>
    <t xml:space="preserve">Italian</t>
  </si>
  <si>
    <t xml:space="preserve">Monégasque</t>
  </si>
  <si>
    <t xml:space="preserve">French</t>
  </si>
  <si>
    <t xml:space="preserve">Dutch</t>
  </si>
  <si>
    <t xml:space="preserve">New Zealander</t>
  </si>
  <si>
    <t xml:space="preserve">Australian</t>
  </si>
  <si>
    <t xml:space="preserve">Spanish</t>
  </si>
  <si>
    <t xml:space="preserve">Brazilian</t>
  </si>
  <si>
    <t xml:space="preserve">Argentine</t>
  </si>
  <si>
    <t xml:space="preserve">Canadian</t>
  </si>
  <si>
    <t xml:space="preserve">Thai</t>
  </si>
  <si>
    <t xml:space="preserve">German</t>
  </si>
  <si>
    <t xml:space="preserve">Finnish</t>
  </si>
  <si>
    <t xml:space="preserve">Mexican</t>
  </si>
  <si>
    <t xml:space="preserve">Constructor</t>
  </si>
  <si>
    <t xml:space="preserve">Engine</t>
  </si>
  <si>
    <t xml:space="preserve">Red Bull Powertrains/Ford</t>
  </si>
  <si>
    <t xml:space="preserve">Honda</t>
  </si>
  <si>
    <t xml:space="preserve">📊  RACE-BY-RACE POINTS GRID  —  2026 SEASON</t>
  </si>
  <si>
    <t xml:space="preserve">R1
Austra</t>
  </si>
  <si>
    <t xml:space="preserve">R2
Chines</t>
  </si>
  <si>
    <t xml:space="preserve">R3
Japane</t>
  </si>
  <si>
    <t xml:space="preserve">R4
Bahrai</t>
  </si>
  <si>
    <t xml:space="preserve">R5
Saudi </t>
  </si>
  <si>
    <t xml:space="preserve">R6
Miami</t>
  </si>
  <si>
    <t xml:space="preserve">R7
Canadi</t>
  </si>
  <si>
    <t xml:space="preserve">R8
Monaco</t>
  </si>
  <si>
    <t xml:space="preserve">R9
Madrid</t>
  </si>
  <si>
    <t xml:space="preserve">R10
Barcel</t>
  </si>
  <si>
    <t xml:space="preserve">R11
Austri</t>
  </si>
  <si>
    <t xml:space="preserve">R12
Britis</t>
  </si>
  <si>
    <t xml:space="preserve">R13
Belgia</t>
  </si>
  <si>
    <t xml:space="preserve">R14
Hungar</t>
  </si>
  <si>
    <t xml:space="preserve">R15
Dutch</t>
  </si>
  <si>
    <t xml:space="preserve">R16
Italia</t>
  </si>
  <si>
    <t xml:space="preserve">R17
Azerba</t>
  </si>
  <si>
    <t xml:space="preserve">R18
Singap</t>
  </si>
  <si>
    <t xml:space="preserve">R19
United</t>
  </si>
  <si>
    <t xml:space="preserve">R20
Mexico</t>
  </si>
  <si>
    <t xml:space="preserve">R21
São Pa</t>
  </si>
  <si>
    <t xml:space="preserve">R22
Las Ve</t>
  </si>
  <si>
    <t xml:space="preserve">R23
Qatar</t>
  </si>
  <si>
    <t xml:space="preserve">R24
Abu Dh</t>
  </si>
  <si>
    <t xml:space="preserve">Total</t>
  </si>
  <si>
    <t xml:space="preserve">🥊  TEAMMATE HEAD-TO-HEAD  —  Qualifying &amp; Race Battles 2026</t>
  </si>
  <si>
    <t xml:space="preserve">Driver A</t>
  </si>
  <si>
    <t xml:space="preserve">Driver B</t>
  </si>
  <si>
    <t xml:space="preserve">A Pts</t>
  </si>
  <si>
    <t xml:space="preserve">B Pts</t>
  </si>
  <si>
    <t xml:space="preserve">Pts Delta</t>
  </si>
  <si>
    <t xml:space="preserve">A Wins</t>
  </si>
  <si>
    <t xml:space="preserve">B Wins</t>
  </si>
  <si>
    <t xml:space="preserve">Win Delta</t>
  </si>
  <si>
    <t xml:space="preserve">A Poles</t>
  </si>
  <si>
    <t xml:space="preserve">B Poles</t>
  </si>
  <si>
    <t xml:space="preserve">A DNFs</t>
  </si>
  <si>
    <t xml:space="preserve">B DNFs</t>
  </si>
  <si>
    <t xml:space="preserve">📈  FORM, FASTEST LAPS &amp; CHAMPIONSHIP MATHEMATICS  —  2026</t>
  </si>
  <si>
    <t xml:space="preserve">ROLLING FORM — Last 3 Races</t>
  </si>
  <si>
    <t xml:space="preserve">#</t>
  </si>
  <si>
    <t xml:space="preserve">Race-3</t>
  </si>
  <si>
    <t xml:space="preserve">Race-2</t>
  </si>
  <si>
    <t xml:space="preserve">Last Race</t>
  </si>
  <si>
    <t xml:space="preserve">3-Race Pts</t>
  </si>
  <si>
    <t xml:space="preserve">Trend</t>
  </si>
  <si>
    <t xml:space="preserve">⚡  FASTEST LAP LEADERBOARD</t>
  </si>
  <si>
    <t xml:space="preserve">🏆  CHAMPIONSHIP MATHEMATICS</t>
  </si>
  <si>
    <t xml:space="preserve">FL Count</t>
  </si>
  <si>
    <t xml:space="preserve">FL Pts</t>
  </si>
  <si>
    <t xml:space="preserve">Current Pts</t>
  </si>
  <si>
    <t xml:space="preserve">Max Possible</t>
  </si>
  <si>
    <t xml:space="preserve">Can Win?</t>
  </si>
  <si>
    <t xml:space="preserve">Remaining: 22 races × 26pts + 5 sprints × 8pts = 612 pts max</t>
  </si>
  <si>
    <t xml:space="preserve">⚠️  DNF / DNS TRACKER  —  Retirements &amp; Non-Starters 2026</t>
  </si>
  <si>
    <t xml:space="preserve">Type</t>
  </si>
  <si>
    <t xml:space="preserve">Reason / Cause</t>
  </si>
  <si>
    <t xml:space="preserve">Lap</t>
  </si>
  <si>
    <t xml:space="preserve">DNS</t>
  </si>
  <si>
    <t xml:space="preserve">DNS — crashed on formation lap</t>
  </si>
  <si>
    <t xml:space="preserve">DNF / DNS SUMMARY</t>
  </si>
  <si>
    <t xml:space="preserve">DNS — electrical failure</t>
  </si>
  <si>
    <t xml:space="preserve">DNFs</t>
  </si>
  <si>
    <t xml:space="preserve">DNSs</t>
  </si>
  <si>
    <t xml:space="preserve">DNF</t>
  </si>
  <si>
    <t xml:space="preserve">DNF — excessive vibrations (lap 31)</t>
  </si>
  <si>
    <t xml:space="preserve">31</t>
  </si>
  <si>
    <t xml:space="preserve">DNS — electrical failure (linked to McLaren issue)</t>
  </si>
  <si>
    <t xml:space="preserve">DNF — battery failure (lap 9)</t>
  </si>
  <si>
    <t xml:space="preserve">9</t>
  </si>
  <si>
    <t xml:space="preserve">DNF — power unit failure (lap 46)</t>
  </si>
  <si>
    <t xml:space="preserve">46</t>
  </si>
  <si>
    <t xml:space="preserve">DNF — crash at Spoon curve (50G impact); knee contusion</t>
  </si>
  <si>
    <t xml:space="preserve">DNF — suspected water pressure issue</t>
  </si>
  <si>
    <t xml:space="preserve">Round</t>
  </si>
  <si>
    <t xml:space="preserve">Flag</t>
  </si>
  <si>
    <t xml:space="preserve">Location</t>
  </si>
  <si>
    <t xml:space="preserve">Race Date</t>
  </si>
  <si>
    <t xml:space="preserve">Timezone</t>
  </si>
  <si>
    <t xml:space="preserve">Circuit Length (km)</t>
  </si>
  <si>
    <t xml:space="preserve">Status</t>
  </si>
  <si>
    <t xml:space="preserve">🇦🇺</t>
  </si>
  <si>
    <t xml:space="preserve">Albert Park Circuit</t>
  </si>
  <si>
    <t xml:space="preserve">Melbourne, Australia</t>
  </si>
  <si>
    <t xml:space="preserve">AEDT +11</t>
  </si>
  <si>
    <t xml:space="preserve">Completed</t>
  </si>
  <si>
    <t xml:space="preserve">🇨🇳</t>
  </si>
  <si>
    <t xml:space="preserve">Shanghai International Circuit</t>
  </si>
  <si>
    <t xml:space="preserve">Shanghai, China</t>
  </si>
  <si>
    <t xml:space="preserve">CST +8</t>
  </si>
  <si>
    <t xml:space="preserve">🇯🇵</t>
  </si>
  <si>
    <t xml:space="preserve">Suzuka International Circuit</t>
  </si>
  <si>
    <t xml:space="preserve">Suzuka, Japan</t>
  </si>
  <si>
    <t xml:space="preserve">JST +9</t>
  </si>
  <si>
    <t xml:space="preserve">🇧🇭</t>
  </si>
  <si>
    <t xml:space="preserve">Bahrain Grand Prix</t>
  </si>
  <si>
    <t xml:space="preserve">Bahrain International Circuit</t>
  </si>
  <si>
    <t xml:space="preserve">Sakhir, Bahrain</t>
  </si>
  <si>
    <t xml:space="preserve">12-Apr-2026</t>
  </si>
  <si>
    <t xml:space="preserve">AST +3</t>
  </si>
  <si>
    <t xml:space="preserve">CANCELLED</t>
  </si>
  <si>
    <t xml:space="preserve">🇸🇦</t>
  </si>
  <si>
    <t xml:space="preserve">Saudi Arabian Grand Prix</t>
  </si>
  <si>
    <t xml:space="preserve">Jeddah Corniche Circuit</t>
  </si>
  <si>
    <t xml:space="preserve">Jeddah, Saudi Arabia</t>
  </si>
  <si>
    <t xml:space="preserve">19-Apr-2026</t>
  </si>
  <si>
    <t xml:space="preserve">🇺🇸</t>
  </si>
  <si>
    <t xml:space="preserve">Miami International Autodrome</t>
  </si>
  <si>
    <t xml:space="preserve">Miami, USA</t>
  </si>
  <si>
    <t xml:space="preserve">03-May-2026</t>
  </si>
  <si>
    <t xml:space="preserve">EDT -4</t>
  </si>
  <si>
    <t xml:space="preserve">Upcoming</t>
  </si>
  <si>
    <t xml:space="preserve">🇨🇦</t>
  </si>
  <si>
    <t xml:space="preserve">Circuit Gilles Villeneuve</t>
  </si>
  <si>
    <t xml:space="preserve">Montreal, Canada</t>
  </si>
  <si>
    <t xml:space="preserve">24-May-2026</t>
  </si>
  <si>
    <t xml:space="preserve">🇲🇨</t>
  </si>
  <si>
    <t xml:space="preserve">Monaco Grand Prix</t>
  </si>
  <si>
    <t xml:space="preserve">Circuit de Monaco</t>
  </si>
  <si>
    <t xml:space="preserve">Monte Carlo, Monaco</t>
  </si>
  <si>
    <t xml:space="preserve">31-May-2026</t>
  </si>
  <si>
    <t xml:space="preserve">CET +1</t>
  </si>
  <si>
    <t xml:space="preserve">🇪🇸</t>
  </si>
  <si>
    <t xml:space="preserve">Madrid Grand Prix</t>
  </si>
  <si>
    <t xml:space="preserve">IFEMA Madrid Street Circuit</t>
  </si>
  <si>
    <t xml:space="preserve">Madrid, Spain</t>
  </si>
  <si>
    <t xml:space="preserve">14-Jun-2026</t>
  </si>
  <si>
    <t xml:space="preserve">Barcelona-Catalunya Grand Prix</t>
  </si>
  <si>
    <t xml:space="preserve">Circuit de Barcelona-Catalunya</t>
  </si>
  <si>
    <t xml:space="preserve">Barcelona, Spain</t>
  </si>
  <si>
    <t xml:space="preserve">21-Jun-2026</t>
  </si>
  <si>
    <t xml:space="preserve">🇦🇹</t>
  </si>
  <si>
    <t xml:space="preserve">Austrian Grand Prix</t>
  </si>
  <si>
    <t xml:space="preserve">Red Bull Ring</t>
  </si>
  <si>
    <t xml:space="preserve">Spielberg, Austria</t>
  </si>
  <si>
    <t xml:space="preserve">28-Jun-2026</t>
  </si>
  <si>
    <t xml:space="preserve">🇬🇧</t>
  </si>
  <si>
    <t xml:space="preserve">Silverstone Circuit</t>
  </si>
  <si>
    <t xml:space="preserve">Silverstone, UK</t>
  </si>
  <si>
    <t xml:space="preserve">05-Jul-2026</t>
  </si>
  <si>
    <t xml:space="preserve">BST +1</t>
  </si>
  <si>
    <t xml:space="preserve">🇧🇪</t>
  </si>
  <si>
    <t xml:space="preserve">Belgian Grand Prix</t>
  </si>
  <si>
    <t xml:space="preserve">Circuit de Spa-Francorchamps</t>
  </si>
  <si>
    <t xml:space="preserve">Stavelot, Belgium</t>
  </si>
  <si>
    <t xml:space="preserve">26-Jul-2026</t>
  </si>
  <si>
    <t xml:space="preserve">🇭🇺</t>
  </si>
  <si>
    <t xml:space="preserve">Hungarian Grand Prix</t>
  </si>
  <si>
    <t xml:space="preserve">Hungaroring</t>
  </si>
  <si>
    <t xml:space="preserve">Budapest, Hungary</t>
  </si>
  <si>
    <t xml:space="preserve">02-Aug-2026</t>
  </si>
  <si>
    <t xml:space="preserve">🇳🇱</t>
  </si>
  <si>
    <t xml:space="preserve">Circuit Zandvoort</t>
  </si>
  <si>
    <t xml:space="preserve">Zandvoort, Netherlands</t>
  </si>
  <si>
    <t xml:space="preserve">30-Aug-2026</t>
  </si>
  <si>
    <t xml:space="preserve">🇮🇹</t>
  </si>
  <si>
    <t xml:space="preserve">Italian Grand Prix</t>
  </si>
  <si>
    <t xml:space="preserve">Autodromo Nazionale Monza</t>
  </si>
  <si>
    <t xml:space="preserve">Monza, Italy</t>
  </si>
  <si>
    <t xml:space="preserve">06-Sep-2026</t>
  </si>
  <si>
    <t xml:space="preserve">🇦🇿</t>
  </si>
  <si>
    <t xml:space="preserve">Azerbaijan Grand Prix</t>
  </si>
  <si>
    <t xml:space="preserve">Baku City Circuit</t>
  </si>
  <si>
    <t xml:space="preserve">Baku, Azerbaijan</t>
  </si>
  <si>
    <t xml:space="preserve">19-Sep-2026</t>
  </si>
  <si>
    <t xml:space="preserve">AZT +4</t>
  </si>
  <si>
    <t xml:space="preserve">🇸🇬</t>
  </si>
  <si>
    <t xml:space="preserve">Marina Bay Street Circuit</t>
  </si>
  <si>
    <t xml:space="preserve">Singapore</t>
  </si>
  <si>
    <t xml:space="preserve">04-Oct-2026</t>
  </si>
  <si>
    <t xml:space="preserve">SGT +8</t>
  </si>
  <si>
    <t xml:space="preserve">United States Grand Prix</t>
  </si>
  <si>
    <t xml:space="preserve">Circuit of the Americas</t>
  </si>
  <si>
    <t xml:space="preserve">Austin, USA</t>
  </si>
  <si>
    <t xml:space="preserve">18-Oct-2026</t>
  </si>
  <si>
    <t xml:space="preserve">CDT -5</t>
  </si>
  <si>
    <t xml:space="preserve">🇲🇽</t>
  </si>
  <si>
    <t xml:space="preserve">Mexico City Grand Prix</t>
  </si>
  <si>
    <t xml:space="preserve">Autodromo Hermanos Rodriguez</t>
  </si>
  <si>
    <t xml:space="preserve">Mexico City, Mexico</t>
  </si>
  <si>
    <t xml:space="preserve">25-Oct-2026</t>
  </si>
  <si>
    <t xml:space="preserve">CST -6</t>
  </si>
  <si>
    <t xml:space="preserve">🇧🇷</t>
  </si>
  <si>
    <t xml:space="preserve">São Paulo Grand Prix</t>
  </si>
  <si>
    <t xml:space="preserve">Autodromo Jose Carlos Pace</t>
  </si>
  <si>
    <t xml:space="preserve">São Paulo, Brazil</t>
  </si>
  <si>
    <t xml:space="preserve">08-Nov-2026</t>
  </si>
  <si>
    <t xml:space="preserve">BRT -3</t>
  </si>
  <si>
    <t xml:space="preserve">Las Vegas Grand Prix</t>
  </si>
  <si>
    <t xml:space="preserve">Las Vegas Strip Circuit</t>
  </si>
  <si>
    <t xml:space="preserve">Las Vegas, USA</t>
  </si>
  <si>
    <t xml:space="preserve">21-Nov-2026</t>
  </si>
  <si>
    <t xml:space="preserve">PST -8</t>
  </si>
  <si>
    <t xml:space="preserve">🇶🇦</t>
  </si>
  <si>
    <t xml:space="preserve">Qatar Grand Prix</t>
  </si>
  <si>
    <t xml:space="preserve">Lusail International Circuit</t>
  </si>
  <si>
    <t xml:space="preserve">Lusail, Qatar</t>
  </si>
  <si>
    <t xml:space="preserve">29-Nov-2026</t>
  </si>
  <si>
    <t xml:space="preserve">🇦🇪</t>
  </si>
  <si>
    <t xml:space="preserve">Abu Dhabi Grand Prix</t>
  </si>
  <si>
    <t xml:space="preserve">Yas Marina Circuit</t>
  </si>
  <si>
    <t xml:space="preserve">Abu Dhabi, UAE</t>
  </si>
  <si>
    <t xml:space="preserve">06-Dec-2026</t>
  </si>
  <si>
    <t xml:space="preserve">GST +4</t>
  </si>
  <si>
    <t xml:space="preserve">TOTAL</t>
  </si>
  <si>
    <t xml:space="preserve">🔮  WHAT-IF POINTS SIMULATOR  —  Projected Final Standings</t>
  </si>
  <si>
    <t xml:space="preserve">Enter hypothetical P1–P10 finishing orders for remaining races below.  Projected standings update automatically.  This sheet does NOT affect official standings.</t>
  </si>
  <si>
    <t xml:space="preserve">Race</t>
  </si>
  <si>
    <t xml:space="preserve">P1</t>
  </si>
  <si>
    <t xml:space="preserve">Actual Pts</t>
  </si>
  <si>
    <t xml:space="preserve">Sim Pts</t>
  </si>
  <si>
    <t xml:space="preserve">Total Projected</t>
  </si>
  <si>
    <t xml:space="preserve">Proj Pos</t>
  </si>
  <si>
    <t xml:space="preserve">CANCELLED — Middle East conflict</t>
  </si>
  <si>
    <t xml:space="preserve">Finish Position</t>
  </si>
  <si>
    <t xml:space="preserve">Race Points</t>
  </si>
  <si>
    <t xml:space="preserve">Sprint Points</t>
  </si>
  <si>
    <t xml:space="preserve">-</t>
  </si>
  <si>
    <t xml:space="preserve">FL Bonus (Race only)</t>
  </si>
  <si>
    <t xml:space="preserve">Sprint: P1–P8 score points only. No FL bonus in sprint.</t>
  </si>
  <si>
    <t xml:space="preserve">Code</t>
  </si>
  <si>
    <t xml:space="preserve">Full Name</t>
  </si>
  <si>
    <t xml:space="preserve">Date of Birth</t>
  </si>
  <si>
    <t xml:space="preserve">Age</t>
  </si>
  <si>
    <t xml:space="preserve">Debut Year</t>
  </si>
  <si>
    <t xml:space="preserve">Career Wins</t>
  </si>
  <si>
    <t xml:space="preserve">Career Poles</t>
  </si>
  <si>
    <t xml:space="preserve">Championships</t>
  </si>
  <si>
    <t xml:space="preserve">RUS</t>
  </si>
  <si>
    <t xml:space="preserve">15-Feb-1998</t>
  </si>
  <si>
    <t xml:space="preserve">ANT</t>
  </si>
  <si>
    <t xml:space="preserve">25-Aug-2006</t>
  </si>
  <si>
    <t xml:space="preserve">LEC</t>
  </si>
  <si>
    <t xml:space="preserve">16-Oct-1997</t>
  </si>
  <si>
    <t xml:space="preserve">HAM</t>
  </si>
  <si>
    <t xml:space="preserve">07-Jan-1985</t>
  </si>
  <si>
    <t xml:space="preserve">BEA</t>
  </si>
  <si>
    <t xml:space="preserve">08-May-2005</t>
  </si>
  <si>
    <t xml:space="preserve">NOR</t>
  </si>
  <si>
    <t xml:space="preserve">13-Nov-2000</t>
  </si>
  <si>
    <t xml:space="preserve">GAS</t>
  </si>
  <si>
    <t xml:space="preserve">07-Feb-1996</t>
  </si>
  <si>
    <t xml:space="preserve">VER</t>
  </si>
  <si>
    <t xml:space="preserve">30-Sep-1997</t>
  </si>
  <si>
    <t xml:space="preserve">LAW</t>
  </si>
  <si>
    <t xml:space="preserve">11-Feb-2002</t>
  </si>
  <si>
    <t xml:space="preserve">HAD</t>
  </si>
  <si>
    <t xml:space="preserve">28-Sep-2004</t>
  </si>
  <si>
    <t xml:space="preserve">LIN</t>
  </si>
  <si>
    <t xml:space="preserve">13-Feb-2006</t>
  </si>
  <si>
    <t xml:space="preserve">PIA</t>
  </si>
  <si>
    <t xml:space="preserve">06-Apr-2001</t>
  </si>
  <si>
    <t xml:space="preserve">SAI</t>
  </si>
  <si>
    <t xml:space="preserve">01-Sep-1994</t>
  </si>
  <si>
    <t xml:space="preserve">BOR</t>
  </si>
  <si>
    <t xml:space="preserve">14-Oct-2004</t>
  </si>
  <si>
    <t xml:space="preserve">COL</t>
  </si>
  <si>
    <t xml:space="preserve">27-May-2003</t>
  </si>
  <si>
    <t xml:space="preserve">ALO</t>
  </si>
  <si>
    <t xml:space="preserve">29-Jul-1981</t>
  </si>
  <si>
    <t xml:space="preserve">STR</t>
  </si>
  <si>
    <t xml:space="preserve">29-Oct-1998</t>
  </si>
  <si>
    <t xml:space="preserve">ALB</t>
  </si>
  <si>
    <t xml:space="preserve">23-Mar-1996</t>
  </si>
  <si>
    <t xml:space="preserve">OCO</t>
  </si>
  <si>
    <t xml:space="preserve">17-Sep-1996</t>
  </si>
  <si>
    <t xml:space="preserve">HUL</t>
  </si>
  <si>
    <t xml:space="preserve">19-Aug-1987</t>
  </si>
  <si>
    <t xml:space="preserve">BOT</t>
  </si>
  <si>
    <t xml:space="preserve">28-Aug-1989</t>
  </si>
  <si>
    <t xml:space="preserve">PER</t>
  </si>
  <si>
    <t xml:space="preserve">26-Jan-1990</t>
  </si>
  <si>
    <t xml:space="preserve">Team Name</t>
  </si>
  <si>
    <t xml:space="preserve">Engine Supplier</t>
  </si>
  <si>
    <t xml:space="preserve">Team Principal</t>
  </si>
  <si>
    <t xml:space="preserve">HQ Location</t>
  </si>
  <si>
    <t xml:space="preserve">Founded</t>
  </si>
  <si>
    <t xml:space="preserve">Chassis</t>
  </si>
  <si>
    <t xml:space="preserve">Constructor Championships</t>
  </si>
  <si>
    <t xml:space="preserve">Toto Wolff</t>
  </si>
  <si>
    <t xml:space="preserve">Brackley, UK</t>
  </si>
  <si>
    <t xml:space="preserve">W16</t>
  </si>
  <si>
    <t xml:space="preserve">Frédéric Vasseur</t>
  </si>
  <si>
    <t xml:space="preserve">Maranello, Italy</t>
  </si>
  <si>
    <t xml:space="preserve">SF-26</t>
  </si>
  <si>
    <t xml:space="preserve">Andrea Stella</t>
  </si>
  <si>
    <t xml:space="preserve">Woking, UK</t>
  </si>
  <si>
    <t xml:space="preserve">MCL39</t>
  </si>
  <si>
    <t xml:space="preserve">Ayao Komatsu</t>
  </si>
  <si>
    <t xml:space="preserve">Kannapolis, USA</t>
  </si>
  <si>
    <t xml:space="preserve">VF-26</t>
  </si>
  <si>
    <t xml:space="preserve">Christian Horner</t>
  </si>
  <si>
    <t xml:space="preserve">Milton Keynes, UK</t>
  </si>
  <si>
    <t xml:space="preserve">RB21</t>
  </si>
  <si>
    <t xml:space="preserve">Laurent Mekies</t>
  </si>
  <si>
    <t xml:space="preserve">Faenza, Italy</t>
  </si>
  <si>
    <t xml:space="preserve">VCARB 02</t>
  </si>
  <si>
    <t xml:space="preserve">Oliver Oakes</t>
  </si>
  <si>
    <t xml:space="preserve">Enstone, UK</t>
  </si>
  <si>
    <t xml:space="preserve">A526</t>
  </si>
  <si>
    <t xml:space="preserve">James Vowles</t>
  </si>
  <si>
    <t xml:space="preserve">Grove, UK</t>
  </si>
  <si>
    <t xml:space="preserve">FW47</t>
  </si>
  <si>
    <t xml:space="preserve">Mattia Binotto</t>
  </si>
  <si>
    <t xml:space="preserve">Hinwil, Switzerland</t>
  </si>
  <si>
    <t xml:space="preserve">C45</t>
  </si>
  <si>
    <t xml:space="preserve">Mike Krack</t>
  </si>
  <si>
    <t xml:space="preserve">AMR26</t>
  </si>
  <si>
    <t xml:space="preserve">Graeme Lowdon</t>
  </si>
  <si>
    <t xml:space="preserve">Fishers, Indiana, USA</t>
  </si>
  <si>
    <t xml:space="preserve">CF-01</t>
  </si>
  <si>
    <t xml:space="preserve">⚙️  VBA MACROS GUIDE  —  How to add Auto-Sort to this workbook</t>
  </si>
  <si>
    <t xml:space="preserve">HOW TO ADD THE AUTO-SORT MACRO</t>
  </si>
  <si>
    <t xml:space="preserve">Step 1</t>
  </si>
  <si>
    <t xml:space="preserve">Press  Alt + F11  to open the VBA Editor (Windows) or  Tools → Macros → Edit  (Mac)</t>
  </si>
  <si>
    <t xml:space="preserve">Step 2</t>
  </si>
  <si>
    <t xml:space="preserve">In the left panel, right-click your workbook name → Insert → Module</t>
  </si>
  <si>
    <t xml:space="preserve">Step 3</t>
  </si>
  <si>
    <t xml:space="preserve">Paste the macro code below into the empty module window</t>
  </si>
  <si>
    <t xml:space="preserve">Step 4</t>
  </si>
  <si>
    <t xml:space="preserve">Close the VBA editor and return to the workbook</t>
  </si>
  <si>
    <t xml:space="preserve">Step 5</t>
  </si>
  <si>
    <t xml:space="preserve">Go to the Dashboard sheet and assign the macro to the 'Refresh Standings' button</t>
  </si>
  <si>
    <t xml:space="preserve">Note</t>
  </si>
  <si>
    <t xml:space="preserve">You must save the file as .xlsm (Macro-Enabled Workbook) to keep the macro</t>
  </si>
  <si>
    <t xml:space="preserve">VBA MACRO CODE — Copy this entire block into your VBA module:</t>
  </si>
  <si>
    <t xml:space="preserve">Sub RefreshStandings()</t>
  </si>
  <si>
    <t xml:space="preserve">    Dim wsD As Worksheet, wsC As Worksheet</t>
  </si>
  <si>
    <t xml:space="preserve">    Dim lastRowD As Long, lastRowC As Long</t>
  </si>
  <si>
    <t xml:space="preserve">    </t>
  </si>
  <si>
    <t xml:space="preserve">    Application.ScreenUpdating = False</t>
  </si>
  <si>
    <t xml:space="preserve">    Application.EnableEvents = False</t>
  </si>
  <si>
    <t xml:space="preserve">    ' ── Sort Driver Standings by Total Points (Col E) descending ──</t>
  </si>
  <si>
    <t xml:space="preserve">    Set wsD = ThisWorkbook.Sheets("Driver Standings")</t>
  </si>
  <si>
    <t xml:space="preserve">    wsD.Unprotect Password:="F12026"</t>
  </si>
  <si>
    <t xml:space="preserve">    lastRowD = wsD.Cells(wsD.Rows.Count, "B").End(xlUp).Row</t>
  </si>
  <si>
    <t xml:space="preserve">    With wsD.Sort</t>
  </si>
  <si>
    <t xml:space="preserve">        .SortFields.Clear</t>
  </si>
  <si>
    <t xml:space="preserve">        .SortFields.Add2 Key:=wsD.Range("E2:E" &amp; lastRowD), _</t>
  </si>
  <si>
    <t xml:space="preserve">            SortOn:=xlSortOnValues, Order:=xlDescending, DataOption:=xlSortNormal</t>
  </si>
  <si>
    <t xml:space="preserve">        .SetRange wsD.Range("A2:O" &amp; lastRowD)</t>
  </si>
  <si>
    <t xml:space="preserve">        .Header = xlNo</t>
  </si>
  <si>
    <t xml:space="preserve">        .Apply</t>
  </si>
  <si>
    <t xml:space="preserve">    End With</t>
  </si>
  <si>
    <t xml:space="preserve">    wsD.Protect Password:="F12026"</t>
  </si>
  <si>
    <t xml:space="preserve">    ' ── Sort Constructor Standings by Total Points (Col D) descending ──</t>
  </si>
  <si>
    <t xml:space="preserve">    Set wsC = ThisWorkbook.Sheets("Constructor Standings")</t>
  </si>
  <si>
    <t xml:space="preserve">    wsC.Unprotect Password:="F12026"</t>
  </si>
  <si>
    <t xml:space="preserve">    lastRowC = wsC.Cells(wsC.Rows.Count, "B").End(xlUp).Row</t>
  </si>
  <si>
    <t xml:space="preserve">    With wsC.Sort</t>
  </si>
  <si>
    <t xml:space="preserve">        .SortFields.Add2 Key:=wsC.Range("D2:D" &amp; lastRowC), _</t>
  </si>
  <si>
    <t xml:space="preserve">        .SetRange wsC.Range("A2:I" &amp; lastRowC)</t>
  </si>
  <si>
    <t xml:space="preserve">    wsC.Protect Password:="F12026"</t>
  </si>
  <si>
    <t xml:space="preserve">    Application.ScreenUpdating = True</t>
  </si>
  <si>
    <t xml:space="preserve">    Application.EnableEvents = True</t>
  </si>
  <si>
    <t xml:space="preserve">    MsgBox "✅ Standings refreshed and sorted!", vbInformation, "F1 2026 Tracker"</t>
  </si>
  <si>
    <t xml:space="preserve">End Sub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</si>
  <si>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</si>
  <si>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</si>
  <si>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</si>
  <si>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</si>
  <si>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</si>
  <si>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</si>
  <si>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</si>
  <si>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</si>
  <si>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</si>
  <si>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</si>
  <si>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</si>
  <si>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</si>
  <si>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</si>
  <si>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</si>
  <si>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</si>
  <si>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</si>
  <si>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</si>
  <si>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</si>
  <si>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</si>
  <si>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</si>
  <si>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</si>
  <si>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</si>
  <si>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</si>
  <si>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</si>
  <si>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Driver (Cumulative)</t>
  </si>
  <si>
    <t xml:space="preserve">Driver (Gap from Leader)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</si>
</sst>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8"/>
      <color rgb="FFE106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E10600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AAAAAA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8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trike val="true"/>
      <sz val="10"/>
      <color rgb="FFCC0000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sz val="10"/>
      <color rgb="FF777777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E10600"/>
      <name val="Arial"/>
      <family val="0"/>
      <charset val="1"/>
    </font>
    <font>
      <sz val="10"/>
      <color rgb="FF333333"/>
      <name val="Arial"/>
      <family val="0"/>
      <charset val="1"/>
    </font>
    <font>
      <sz val="10"/>
      <color rgb="FF555555"/>
      <name val="Arial"/>
      <family val="0"/>
      <charset val="1"/>
    </font>
    <font>
      <sz val="10"/>
      <color rgb="FFE10600"/>
      <name val="Arial"/>
      <family val="0"/>
      <charset val="1"/>
    </font>
    <font>
      <sz val="9"/>
      <color rgb="FF1565C0"/>
      <name val="Courier New"/>
      <family val="0"/>
      <charset val="1"/>
    </font>
  </fonts>
  <fills count="56">
    <fill>
      <patternFill patternType="none"/>
    </fill>
    <fill>
      <patternFill patternType="gray125"/>
    </fill>
    <fill>
      <patternFill patternType="solid">
        <fgColor rgb="FF15151E"/>
        <bgColor rgb="FF1A1A2E"/>
      </patternFill>
    </fill>
    <fill>
      <patternFill patternType="solid">
        <fgColor rgb="FF1A1A2E"/>
        <bgColor rgb="FF15151E"/>
      </patternFill>
    </fill>
    <fill>
      <patternFill patternType="solid">
        <fgColor rgb="FFE00400"/>
        <bgColor rgb="FF702C26"/>
      </patternFill>
    </fill>
    <fill>
      <patternFill patternType="solid">
        <fgColor rgb="FFFFFFFF"/>
        <bgColor rgb="FFFEFCF7"/>
      </patternFill>
    </fill>
    <fill>
      <patternFill patternType="solid">
        <fgColor rgb="FFF5F5F5"/>
        <bgColor rgb="FFF4F4F5"/>
      </patternFill>
    </fill>
    <fill>
      <patternFill patternType="solid">
        <fgColor rgb="FF1A4126"/>
        <bgColor rgb="FF1A1A2E"/>
      </patternFill>
    </fill>
    <fill>
      <patternFill patternType="solid">
        <fgColor rgb="FFF0F0F0"/>
        <bgColor rgb="FFF0F1F0"/>
      </patternFill>
    </fill>
    <fill>
      <patternFill patternType="darkGray">
        <fgColor rgb="FFCCF6F2"/>
        <bgColor rgb="FFCCE9F4"/>
      </patternFill>
    </fill>
    <fill>
      <patternFill patternType="solid">
        <fgColor rgb="FFD8F8F5"/>
        <bgColor rgb="FFE0F3FF"/>
      </patternFill>
    </fill>
    <fill>
      <patternFill patternType="solid">
        <fgColor rgb="FF99E5E9"/>
        <bgColor rgb="FFC2E8FF"/>
      </patternFill>
    </fill>
    <fill>
      <patternFill patternType="solid">
        <fgColor rgb="FFF6C6C6"/>
        <bgColor rgb="FFF8CCCC"/>
      </patternFill>
    </fill>
    <fill>
      <patternFill patternType="solid">
        <fgColor rgb="FFF9D8D8"/>
        <bgColor rgb="FFF8D7DA"/>
      </patternFill>
    </fill>
    <fill>
      <patternFill patternType="solid">
        <fgColor rgb="FFF39A98"/>
        <bgColor rgb="FFE39999"/>
      </patternFill>
    </fill>
    <fill>
      <patternFill patternType="solid">
        <fgColor rgb="FFF4F4F5"/>
        <bgColor rgb="FFF5F5F5"/>
      </patternFill>
    </fill>
    <fill>
      <patternFill patternType="solid">
        <fgColor rgb="FFE1E3E4"/>
        <bgColor rgb="FFDCE1E8"/>
      </patternFill>
    </fill>
    <fill>
      <patternFill patternType="solid">
        <fgColor rgb="FFFFE3C6"/>
        <bgColor rgb="FFFFE5CC"/>
      </patternFill>
    </fill>
    <fill>
      <patternFill patternType="solid">
        <fgColor rgb="FFFFEBD8"/>
        <bgColor rgb="FFFFE5CC"/>
      </patternFill>
    </fill>
    <fill>
      <patternFill patternType="solid">
        <fgColor rgb="FFFFCC99"/>
        <bgColor rgb="FFF6C6C6"/>
      </patternFill>
    </fill>
    <fill>
      <patternFill patternType="solid">
        <fgColor rgb="FFC6E9FA"/>
        <bgColor rgb="FFC2E8FF"/>
      </patternFill>
    </fill>
    <fill>
      <patternFill patternType="solid">
        <fgColor rgb="FFD8EEF8"/>
        <bgColor rgb="FFE0E9F6"/>
      </patternFill>
    </fill>
    <fill>
      <patternFill patternType="mediumGray">
        <fgColor rgb="FF99E5E9"/>
        <bgColor rgb="FFAEC6E8"/>
      </patternFill>
    </fill>
    <fill>
      <patternFill patternType="darkGray">
        <fgColor rgb="FFD6E2F3"/>
        <bgColor rgb="FFDCE1E8"/>
      </patternFill>
    </fill>
    <fill>
      <patternFill patternType="solid">
        <fgColor rgb="FFE0E9F6"/>
        <bgColor rgb="FFE0E9FF"/>
      </patternFill>
    </fill>
    <fill>
      <patternFill patternType="solid">
        <fgColor rgb="FFAEC6E8"/>
        <bgColor rgb="FFAED1C7"/>
      </patternFill>
    </fill>
    <fill>
      <patternFill patternType="darkGray">
        <fgColor rgb="FFDCE7FE"/>
        <bgColor rgb="FFD6E2F3"/>
      </patternFill>
    </fill>
    <fill>
      <patternFill patternType="solid">
        <fgColor rgb="FFE8EEFF"/>
        <bgColor rgb="FFE0E9FF"/>
      </patternFill>
    </fill>
    <fill>
      <patternFill patternType="solid">
        <fgColor rgb="FFC1D3FF"/>
        <bgColor rgb="FFD1D7E1"/>
      </patternFill>
    </fill>
    <fill>
      <patternFill patternType="darkGray">
        <fgColor rgb="FFD8EEF8"/>
        <bgColor rgb="FFE0F3FF"/>
      </patternFill>
    </fill>
    <fill>
      <patternFill patternType="solid">
        <fgColor rgb="FFE7F6FF"/>
        <bgColor rgb="FFE0F3FF"/>
      </patternFill>
    </fill>
    <fill>
      <patternFill patternType="solid">
        <fgColor rgb="FFC2E8FF"/>
        <bgColor rgb="FFC6E9FA"/>
      </patternFill>
    </fill>
    <fill>
      <patternFill patternType="solid">
        <fgColor rgb="FFF4D8D8"/>
        <bgColor rgb="FFF8D7DA"/>
      </patternFill>
    </fill>
    <fill>
      <patternFill patternType="solid">
        <fgColor rgb="FFE39999"/>
        <bgColor rgb="FFF39A98"/>
      </patternFill>
    </fill>
    <fill>
      <patternFill patternType="solid">
        <fgColor rgb="FFD3E5E2"/>
        <bgColor rgb="FFD6E8E3"/>
      </patternFill>
    </fill>
    <fill>
      <patternFill patternType="solid">
        <fgColor rgb="FFE0EDEA"/>
        <bgColor rgb="FFE0E9F6"/>
      </patternFill>
    </fill>
    <fill>
      <patternFill patternType="solid">
        <fgColor rgb="FFAED1C7"/>
        <bgColor rgb="FFAEC6E8"/>
      </patternFill>
    </fill>
    <fill>
      <patternFill patternType="darkGray">
        <fgColor rgb="FFCCCCCC"/>
        <bgColor rgb="FFD1D7E1"/>
      </patternFill>
    </fill>
    <fill>
      <patternFill patternType="solid">
        <fgColor rgb="FFDCE1E8"/>
        <bgColor rgb="FFE1E3E4"/>
      </patternFill>
    </fill>
    <fill>
      <patternFill patternType="solid">
        <fgColor rgb="FFA2AFBB"/>
        <bgColor rgb="FFC0C0BF"/>
      </patternFill>
    </fill>
    <fill>
      <patternFill patternType="solid">
        <fgColor rgb="FFCCF6F2"/>
        <bgColor rgb="FFD8F8F5"/>
      </patternFill>
    </fill>
    <fill>
      <patternFill patternType="solid">
        <fgColor rgb="FFF8CCCC"/>
        <bgColor rgb="FFF1CCCC"/>
      </patternFill>
    </fill>
    <fill>
      <patternFill patternType="solid">
        <fgColor rgb="FFFFE5CC"/>
        <bgColor rgb="FFFFE3C6"/>
      </patternFill>
    </fill>
    <fill>
      <patternFill patternType="solid">
        <fgColor rgb="FFD6E2F3"/>
        <bgColor rgb="FFDCE1E8"/>
      </patternFill>
    </fill>
    <fill>
      <patternFill patternType="solid">
        <fgColor rgb="FFD6E8E3"/>
        <bgColor rgb="FFD3E5E2"/>
      </patternFill>
    </fill>
    <fill>
      <patternFill patternType="solid">
        <fgColor rgb="FFCCE9F4"/>
        <bgColor rgb="FFC6E9FA"/>
      </patternFill>
    </fill>
    <fill>
      <patternFill patternType="solid">
        <fgColor rgb="FFE0F3FF"/>
        <bgColor rgb="FFE7F6FF"/>
      </patternFill>
    </fill>
    <fill>
      <patternFill patternType="solid">
        <fgColor rgb="FFE0E9FF"/>
        <bgColor rgb="FFDCE7FE"/>
      </patternFill>
    </fill>
    <fill>
      <patternFill patternType="solid">
        <fgColor rgb="FFF0F1F0"/>
        <bgColor rgb="FFF0F0F0"/>
      </patternFill>
    </fill>
    <fill>
      <patternFill patternType="solid">
        <fgColor rgb="FFF1CCCC"/>
        <bgColor rgb="FFF8CCCC"/>
      </patternFill>
    </fill>
    <fill>
      <patternFill patternType="solid">
        <fgColor rgb="FFD1D7E1"/>
        <bgColor rgb="FFDCE1E8"/>
      </patternFill>
    </fill>
    <fill>
      <patternFill patternType="solid">
        <fgColor rgb="FFF8D7DA"/>
        <bgColor rgb="FFF9D8D8"/>
      </patternFill>
    </fill>
    <fill>
      <patternFill patternType="darkGray">
        <fgColor rgb="FFFFF5D0"/>
        <bgColor rgb="FFFFEBD8"/>
      </patternFill>
    </fill>
    <fill>
      <patternFill patternType="solid">
        <fgColor rgb="FFFFD7D7"/>
        <bgColor rgb="FFF9D8D8"/>
      </patternFill>
    </fill>
    <fill>
      <patternFill patternType="solid">
        <fgColor rgb="FFFEFCF7"/>
        <bgColor rgb="FFFFFFFF"/>
      </patternFill>
    </fill>
    <fill>
      <patternFill patternType="darkGray">
        <fgColor rgb="FFFEFCF7"/>
        <bgColor rgb="FFF5F5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5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6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3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1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2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2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2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2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2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3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3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3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3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3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3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1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5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1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51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3" fillId="51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52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52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3" fillId="52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3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53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4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8" fillId="5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5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5">
    <dxf>
      <font>
        <name val="Arial"/>
        <charset val="1"/>
        <family val="0"/>
        <b val="1"/>
        <sz val="10"/>
      </font>
      <fill>
        <patternFill>
          <bgColor rgb="FFFFD700"/>
        </patternFill>
      </fill>
    </dxf>
    <dxf>
      <font>
        <name val="Arial"/>
        <charset val="1"/>
        <family val="0"/>
        <b val="1"/>
        <sz val="10"/>
      </font>
      <fill>
        <patternFill>
          <bgColor rgb="FFC0C0C0"/>
        </patternFill>
      </fill>
    </dxf>
    <dxf>
      <font>
        <name val="Arial"/>
        <charset val="1"/>
        <family val="0"/>
        <b val="1"/>
        <sz val="10"/>
      </font>
      <fill>
        <patternFill>
          <bgColor rgb="FFCD7F32"/>
        </patternFill>
      </fill>
    </dxf>
    <dxf>
      <fill>
        <patternFill>
          <bgColor rgb="FFFFFDE7"/>
        </patternFill>
      </fill>
    </dxf>
    <dxf>
      <fill>
        <patternFill>
          <bgColor rgb="FFFFF9C4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D700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C0C0C0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CD7F32"/>
        </patternFill>
      </fill>
    </dxf>
    <dxf>
      <fill>
        <patternFill>
          <bgColor rgb="FFC6F5F0"/>
        </patternFill>
      </fill>
    </dxf>
    <dxf>
      <fill>
        <patternFill>
          <bgColor rgb="FFF7C6C6"/>
        </patternFill>
      </fill>
    </dxf>
    <dxf>
      <fill>
        <patternFill>
          <bgColor rgb="FFFFE3C6"/>
        </patternFill>
      </fill>
    </dxf>
    <dxf>
      <fill>
        <patternFill>
          <bgColor rgb="FFD2DFF2"/>
        </patternFill>
      </fill>
    </dxf>
    <dxf>
      <fill>
        <patternFill>
          <bgColor rgb="FFD2E5E0"/>
        </patternFill>
      </fill>
    </dxf>
    <dxf>
      <fill>
        <patternFill>
          <bgColor rgb="FFC6E7F3"/>
        </patternFill>
      </fill>
    </dxf>
    <dxf>
      <fill>
        <patternFill>
          <bgColor rgb="FFDCF2FF"/>
        </patternFill>
      </fill>
    </dxf>
    <dxf>
      <fill>
        <patternFill>
          <bgColor rgb="FFDDE7FF"/>
        </patternFill>
      </fill>
    </dxf>
    <dxf>
      <fill>
        <patternFill>
          <bgColor rgb="FFEEEFF0"/>
        </patternFill>
      </fill>
    </dxf>
    <dxf>
      <fill>
        <patternFill>
          <bgColor rgb="FFF0C6C6"/>
        </patternFill>
      </fill>
    </dxf>
    <dxf>
      <fill>
        <patternFill>
          <bgColor rgb="FFCCD3DE"/>
        </patternFill>
      </fill>
    </dxf>
    <dxf>
      <font>
        <name val="Arial"/>
        <charset val="1"/>
        <family val="0"/>
        <b val="1"/>
        <sz val="9"/>
      </font>
      <fill>
        <patternFill>
          <bgColor rgb="FF99EDE5"/>
        </patternFill>
      </fill>
    </dxf>
    <dxf>
      <font>
        <name val="Arial"/>
        <charset val="1"/>
        <family val="0"/>
        <b val="1"/>
        <sz val="9"/>
      </font>
      <fill>
        <patternFill>
          <bgColor rgb="FFF19999"/>
        </patternFill>
      </fill>
    </dxf>
    <dxf>
      <font>
        <name val="Arial"/>
        <charset val="1"/>
        <family val="0"/>
        <b val="1"/>
        <sz val="9"/>
      </font>
      <fill>
        <patternFill>
          <bgColor rgb="FFE1E3E4"/>
        </patternFill>
      </fill>
    </dxf>
    <dxf>
      <font>
        <name val="Arial"/>
        <charset val="1"/>
        <family val="0"/>
        <b val="1"/>
        <sz val="9"/>
      </font>
      <fill>
        <patternFill>
          <bgColor rgb="FFFFCC99"/>
        </patternFill>
      </fill>
    </dxf>
    <dxf>
      <font>
        <name val="Arial"/>
        <charset val="1"/>
        <family val="0"/>
        <b val="1"/>
        <sz val="9"/>
      </font>
      <fill>
        <patternFill>
          <bgColor rgb="FF99D3EA"/>
        </patternFill>
      </fill>
    </dxf>
    <dxf>
      <font>
        <name val="Arial"/>
        <charset val="1"/>
        <family val="0"/>
        <b val="1"/>
        <sz val="9"/>
      </font>
      <fill>
        <patternFill>
          <bgColor rgb="FFAEC6E8"/>
        </patternFill>
      </fill>
    </dxf>
    <dxf>
      <font>
        <name val="Arial"/>
        <charset val="1"/>
        <family val="0"/>
        <b val="1"/>
        <sz val="9"/>
      </font>
      <fill>
        <patternFill>
          <bgColor rgb="FFC1D3FF"/>
        </patternFill>
      </fill>
    </dxf>
    <dxf>
      <font>
        <name val="Arial"/>
        <charset val="1"/>
        <family val="0"/>
        <b val="1"/>
        <sz val="9"/>
      </font>
      <fill>
        <patternFill>
          <bgColor rgb="FFC1E7FF"/>
        </patternFill>
      </fill>
    </dxf>
    <dxf>
      <font>
        <name val="Arial"/>
        <charset val="1"/>
        <family val="0"/>
        <b val="1"/>
        <sz val="9"/>
      </font>
      <fill>
        <patternFill>
          <bgColor rgb="FFE39999"/>
        </patternFill>
      </fill>
    </dxf>
    <dxf>
      <font>
        <name val="Arial"/>
        <charset val="1"/>
        <family val="0"/>
        <b val="1"/>
        <sz val="9"/>
      </font>
      <fill>
        <patternFill>
          <bgColor rgb="FFAED1C7"/>
        </patternFill>
      </fill>
    </dxf>
    <dxf>
      <font>
        <name val="Arial"/>
        <charset val="1"/>
        <family val="0"/>
        <b val="1"/>
        <sz val="9"/>
      </font>
      <fill>
        <patternFill>
          <bgColor rgb="FFA3B0C3"/>
        </patternFill>
      </fill>
    </dxf>
    <dxf>
      <font>
        <name val="Arial"/>
        <charset val="1"/>
        <family val="0"/>
        <b val="1"/>
        <color rgb="FF155724"/>
        <sz val="10"/>
      </font>
      <fill>
        <patternFill>
          <bgColor rgb="FFC8F7C5"/>
        </patternFill>
      </fill>
    </dxf>
    <dxf>
      <font>
        <name val="Arial"/>
        <charset val="1"/>
        <family val="0"/>
        <b val="1"/>
        <color rgb="FF721C24"/>
        <sz val="10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155724"/>
        <sz val="11"/>
      </font>
      <fill>
        <patternFill>
          <bgColor rgb="FFC8F7C5"/>
        </patternFill>
      </fill>
    </dxf>
    <dxf>
      <font>
        <name val="Arial"/>
        <charset val="1"/>
        <family val="0"/>
        <color rgb="FF721C24"/>
        <sz val="10"/>
      </font>
      <fill>
        <patternFill>
          <bgColor rgb="FFF8D7DA"/>
        </patternFill>
      </fill>
    </dxf>
    <dxf>
      <font>
        <name val="Arial"/>
        <charset val="1"/>
        <family val="0"/>
        <color rgb="FF856404"/>
        <sz val="10"/>
      </font>
      <fill>
        <patternFill>
          <bgColor rgb="FFFFF3CD"/>
        </patternFill>
      </fill>
    </dxf>
  </dxfs>
  <colors>
    <indexedColors>
      <rgbColor rgb="FF000000"/>
      <rgbColor rgb="FFFFFFFF"/>
      <rgbColor rgb="FFE00400"/>
      <rgbColor rgb="FFD6E8E3"/>
      <rgbColor rgb="FFE7F6FF"/>
      <rgbColor rgb="FFFFE3C6"/>
      <rgbColor rgb="FFFFD7D7"/>
      <rgbColor rgb="FFC2E8FF"/>
      <rgbColor rgb="FFF0F1F0"/>
      <rgbColor rgb="FFD8EEF8"/>
      <rgbColor rgb="FFF5F5F5"/>
      <rgbColor rgb="FFF8CCCC"/>
      <rgbColor rgb="FFE0E9FF"/>
      <rgbColor rgb="FFDCE1E8"/>
      <rgbColor rgb="FFC0C0BF"/>
      <rgbColor rgb="FFF1CCCC"/>
      <rgbColor rgb="FFAED1C7"/>
      <rgbColor rgb="FFF4D8D8"/>
      <rgbColor rgb="FFFFF5D0"/>
      <rgbColor rgb="FFCCF6F2"/>
      <rgbColor rgb="FFF0F0F0"/>
      <rgbColor rgb="FFE39999"/>
      <rgbColor rgb="FFDCE7FE"/>
      <rgbColor rgb="FFC1D3FF"/>
      <rgbColor rgb="FFFEFCF7"/>
      <rgbColor rgb="FFF9D8D8"/>
      <rgbColor rgb="FFFFE5CC"/>
      <rgbColor rgb="FFC6E9FA"/>
      <rgbColor rgb="FFE0EDEA"/>
      <rgbColor rgb="FFE0F3FF"/>
      <rgbColor rgb="FFE1E3E4"/>
      <rgbColor rgb="FFF4F4F5"/>
      <rgbColor rgb="FFCCE9F4"/>
      <rgbColor rgb="FFD8F8F5"/>
      <rgbColor rgb="FFC8F7C5"/>
      <rgbColor rgb="FFFFEBD8"/>
      <rgbColor rgb="FFAEC6E8"/>
      <rgbColor rgb="FFF39A98"/>
      <rgbColor rgb="FFCCCCCC"/>
      <rgbColor rgb="FFFFCC99"/>
      <rgbColor rgb="FFD6E2F3"/>
      <rgbColor rgb="FF99E5E9"/>
      <rgbColor rgb="FFD1D7E1"/>
      <rgbColor rgb="FFFFD700"/>
      <rgbColor rgb="FFF6C6C6"/>
      <rgbColor rgb="FFD17F33"/>
      <rgbColor rgb="FF4B7E9D"/>
      <rgbColor rgb="FFA2AFBB"/>
      <rgbColor rgb="FFE8EEFF"/>
      <rgbColor rgb="FFD3E5E2"/>
      <rgbColor rgb="FF15151E"/>
      <rgbColor rgb="FF1A1A2E"/>
      <rgbColor rgb="FF702C26"/>
      <rgbColor rgb="FFF8D7DA"/>
      <rgbColor rgb="FFE0E9F6"/>
      <rgbColor rgb="FF1A41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IN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IN" sz="1800" spc="-1" strike="noStrike">
                <a:solidFill>
                  <a:srgbClr val="000000"/>
                </a:solidFill>
                <a:latin typeface="Calibri"/>
              </a:rPr>
              <a:t>Driver Championship — Total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'Driver Standings'!$E$1</c:f>
              <c:strCache>
                <c:ptCount val="1"/>
                <c:pt idx="0">
                  <c:v>Total Points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'Driver Standings'!$B$2:$B$21</c:f>
              <c:strCache>
                <c:ptCount val="20"/>
                <c:pt idx="0">
                  <c:v>George Russell</c:v>
                </c:pt>
                <c:pt idx="1">
                  <c:v>Andrea Kimi Antonelli</c:v>
                </c:pt>
                <c:pt idx="2">
                  <c:v>Charles Leclerc</c:v>
                </c:pt>
                <c:pt idx="3">
                  <c:v>Lewis Hamilton</c:v>
                </c:pt>
                <c:pt idx="4">
                  <c:v>Oliver Bearman</c:v>
                </c:pt>
                <c:pt idx="5">
                  <c:v>Lando Norris</c:v>
                </c:pt>
                <c:pt idx="6">
                  <c:v>Pierre Gasly</c:v>
                </c:pt>
                <c:pt idx="7">
                  <c:v>Max Verstappen</c:v>
                </c:pt>
                <c:pt idx="8">
                  <c:v>Liam Lawson</c:v>
                </c:pt>
                <c:pt idx="9">
                  <c:v>Isack Hadjar</c:v>
                </c:pt>
                <c:pt idx="10">
                  <c:v>Arvid Lindblad</c:v>
                </c:pt>
                <c:pt idx="11">
                  <c:v>Oscar Piastri</c:v>
                </c:pt>
                <c:pt idx="12">
                  <c:v>Carlos Sainz</c:v>
                </c:pt>
                <c:pt idx="13">
                  <c:v>Gabriel Bortoleto</c:v>
                </c:pt>
                <c:pt idx="14">
                  <c:v>Franco Colapinto</c:v>
                </c:pt>
                <c:pt idx="15">
                  <c:v>Fernando Alonso</c:v>
                </c:pt>
                <c:pt idx="16">
                  <c:v>Lance Stroll</c:v>
                </c:pt>
                <c:pt idx="17">
                  <c:v>Alexander Albon</c:v>
                </c:pt>
                <c:pt idx="18">
                  <c:v>Esteban Ocon</c:v>
                </c:pt>
                <c:pt idx="19">
                  <c:v>Nico Hulkenberg</c:v>
                </c:pt>
              </c:strCache>
            </c:strRef>
          </c:cat>
          <c:val>
            <c:numRef>
              <c:f>'Driver Standings'!$E$2:$E$21</c:f>
              <c:numCache>
                <c:formatCode>General</c:formatCode>
                <c:ptCount val="20"/>
                <c:pt idx="0">
                  <c:v>63</c:v>
                </c:pt>
                <c:pt idx="1">
                  <c:v>72</c:v>
                </c:pt>
                <c:pt idx="2">
                  <c:v>49</c:v>
                </c:pt>
                <c:pt idx="3">
                  <c:v>41</c:v>
                </c:pt>
                <c:pt idx="4">
                  <c:v>17</c:v>
                </c:pt>
                <c:pt idx="5">
                  <c:v>25</c:v>
                </c:pt>
                <c:pt idx="6">
                  <c:v>15</c:v>
                </c:pt>
                <c:pt idx="7">
                  <c:v>12</c:v>
                </c:pt>
                <c:pt idx="8">
                  <c:v>10</c:v>
                </c:pt>
                <c:pt idx="9">
                  <c:v>4</c:v>
                </c:pt>
                <c:pt idx="10">
                  <c:v>4</c:v>
                </c:pt>
                <c:pt idx="11">
                  <c:v>21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10721349"/>
        <c:axId val="24494189"/>
      </c:barChart>
      <c:catAx>
        <c:axId val="107213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94189"/>
        <c:crosses val="autoZero"/>
        <c:auto val="1"/>
        <c:lblAlgn val="ctr"/>
        <c:lblOffset val="100"/>
        <c:noMultiLvlLbl val="0"/>
      </c:catAx>
      <c:valAx>
        <c:axId val="24494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lang="en-IN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IN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213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IN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IN" sz="1800" spc="-1" strike="noStrike">
                <a:solidFill>
                  <a:srgbClr val="000000"/>
                </a:solidFill>
                <a:latin typeface="Calibri"/>
              </a:rPr>
              <a:t>Race Wins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'Driver Standings'!$F$1</c:f>
              <c:strCache>
                <c:ptCount val="1"/>
                <c:pt idx="0">
                  <c:v>Race Pts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3e659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73f3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7a93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54e7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b879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c2763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978b1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b34a4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91af5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775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6a1b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e78c41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7e9bc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3"/>
            <c:spPr>
              <a:solidFill>
                <a:srgbClr val="ca7e7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4"/>
            <c:spPr>
              <a:solidFill>
                <a:srgbClr val="adc68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5"/>
            <c:spPr>
              <a:solidFill>
                <a:srgbClr val="9a89b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6"/>
            <c:spPr>
              <a:solidFill>
                <a:srgbClr val="7cbac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7"/>
            <c:spPr>
              <a:solidFill>
                <a:srgbClr val="f8aa7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8"/>
            <c:spPr>
              <a:solidFill>
                <a:srgbClr val="b5c3db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9"/>
            <c:spPr>
              <a:solidFill>
                <a:srgbClr val="ddb5b5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'Driver Standings'!$B$2:$B$21</c:f>
              <c:strCache>
                <c:ptCount val="20"/>
                <c:pt idx="0">
                  <c:v>George Russell</c:v>
                </c:pt>
                <c:pt idx="1">
                  <c:v>Andrea Kimi Antonelli</c:v>
                </c:pt>
                <c:pt idx="2">
                  <c:v>Charles Leclerc</c:v>
                </c:pt>
                <c:pt idx="3">
                  <c:v>Lewis Hamilton</c:v>
                </c:pt>
                <c:pt idx="4">
                  <c:v>Oliver Bearman</c:v>
                </c:pt>
                <c:pt idx="5">
                  <c:v>Lando Norris</c:v>
                </c:pt>
                <c:pt idx="6">
                  <c:v>Pierre Gasly</c:v>
                </c:pt>
                <c:pt idx="7">
                  <c:v>Max Verstappen</c:v>
                </c:pt>
                <c:pt idx="8">
                  <c:v>Liam Lawson</c:v>
                </c:pt>
                <c:pt idx="9">
                  <c:v>Isack Hadjar</c:v>
                </c:pt>
                <c:pt idx="10">
                  <c:v>Arvid Lindblad</c:v>
                </c:pt>
                <c:pt idx="11">
                  <c:v>Oscar Piastri</c:v>
                </c:pt>
                <c:pt idx="12">
                  <c:v>Carlos Sainz</c:v>
                </c:pt>
                <c:pt idx="13">
                  <c:v>Gabriel Bortoleto</c:v>
                </c:pt>
                <c:pt idx="14">
                  <c:v>Franco Colapinto</c:v>
                </c:pt>
                <c:pt idx="15">
                  <c:v>Fernando Alonso</c:v>
                </c:pt>
                <c:pt idx="16">
                  <c:v>Lance Stroll</c:v>
                </c:pt>
                <c:pt idx="17">
                  <c:v>Alexander Albon</c:v>
                </c:pt>
                <c:pt idx="18">
                  <c:v>Esteban Ocon</c:v>
                </c:pt>
                <c:pt idx="19">
                  <c:v>Nico Hulkenberg</c:v>
                </c:pt>
              </c:strCache>
            </c:strRef>
          </c:cat>
          <c:val>
            <c:numRef>
              <c:f>'Driver Standings'!$F$2:$F$21</c:f>
              <c:numCache>
                <c:formatCode>General</c:formatCode>
                <c:ptCount val="20"/>
                <c:pt idx="0">
                  <c:v>55</c:v>
                </c:pt>
                <c:pt idx="1">
                  <c:v>68</c:v>
                </c:pt>
                <c:pt idx="2">
                  <c:v>42</c:v>
                </c:pt>
                <c:pt idx="3">
                  <c:v>35</c:v>
                </c:pt>
                <c:pt idx="4">
                  <c:v>16</c:v>
                </c:pt>
                <c:pt idx="5">
                  <c:v>20</c:v>
                </c:pt>
                <c:pt idx="6">
                  <c:v>15</c:v>
                </c:pt>
                <c:pt idx="7">
                  <c:v>12</c:v>
                </c:pt>
                <c:pt idx="8">
                  <c:v>8</c:v>
                </c:pt>
                <c:pt idx="9">
                  <c:v>4</c:v>
                </c:pt>
                <c:pt idx="10">
                  <c:v>4</c:v>
                </c:pt>
                <c:pt idx="11">
                  <c:v>18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IN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IN" sz="1800" spc="-1" strike="noStrike">
                <a:solidFill>
                  <a:srgbClr val="000000"/>
                </a:solidFill>
                <a:latin typeface="Calibri"/>
              </a:rPr>
              <a:t>Points Progression — Top 5 Drivers (Cumulative)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"'Chart Data'!$A$25"</c:f>
              <c:strCache>
                <c:ptCount val="1"/>
                <c:pt idx="0">
                  <c:v>'Chart Data'!$A$25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Data'!$B$25:$Y$25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  <c:pt idx="7">
                  <c:v>63</c:v>
                </c:pt>
                <c:pt idx="8">
                  <c:v>63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63</c:v>
                </c:pt>
                <c:pt idx="13">
                  <c:v>63</c:v>
                </c:pt>
                <c:pt idx="14">
                  <c:v>63</c:v>
                </c:pt>
                <c:pt idx="15">
                  <c:v>63</c:v>
                </c:pt>
                <c:pt idx="16">
                  <c:v>52</c:v>
                </c:pt>
                <c:pt idx="17">
                  <c:v>52</c:v>
                </c:pt>
                <c:pt idx="18">
                  <c:v>52</c:v>
                </c:pt>
                <c:pt idx="19">
                  <c:v>52</c:v>
                </c:pt>
                <c:pt idx="20">
                  <c:v>52</c:v>
                </c:pt>
                <c:pt idx="21">
                  <c:v>52</c:v>
                </c:pt>
                <c:pt idx="22">
                  <c:v>52</c:v>
                </c:pt>
                <c:pt idx="23">
                  <c:v>52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"'Chart Data'!$A$26"</c:f>
              <c:strCache>
                <c:ptCount val="1"/>
                <c:pt idx="0">
                  <c:v>'Chart Data'!$A$26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Data'!$B$26:$Y$26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72</c:v>
                </c:pt>
                <c:pt idx="12">
                  <c:v>72</c:v>
                </c:pt>
                <c:pt idx="13">
                  <c:v>72</c:v>
                </c:pt>
                <c:pt idx="14">
                  <c:v>72</c:v>
                </c:pt>
                <c:pt idx="15">
                  <c:v>72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  <c:pt idx="21">
                  <c:v>48</c:v>
                </c:pt>
                <c:pt idx="22">
                  <c:v>48</c:v>
                </c:pt>
                <c:pt idx="23">
                  <c:v>48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"'Chart Data'!$A$27"</c:f>
              <c:strCache>
                <c:ptCount val="1"/>
                <c:pt idx="0">
                  <c:v>'Chart Data'!$A$27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Data'!$B$27:$Y$27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49</c:v>
                </c:pt>
                <c:pt idx="12">
                  <c:v>49</c:v>
                </c:pt>
                <c:pt idx="13">
                  <c:v>49</c:v>
                </c:pt>
                <c:pt idx="14">
                  <c:v>49</c:v>
                </c:pt>
                <c:pt idx="15">
                  <c:v>49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"'Chart Data'!$A$28"</c:f>
              <c:strCache>
                <c:ptCount val="1"/>
                <c:pt idx="0">
                  <c:v>'Chart Data'!$A$28</c:v>
                </c:pt>
              </c:strCache>
            </c:strRef>
          </c:tx>
          <c:spPr>
            <a:solidFill>
              <a:srgbClr val="7d5fa0"/>
            </a:solidFill>
            <a:ln w="4752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Data'!$B$28:$Y$28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"'Chart Data'!$A$29"</c:f>
              <c:strCache>
                <c:ptCount val="1"/>
                <c:pt idx="0">
                  <c:v>'Chart Data'!$A$29</c:v>
                </c:pt>
              </c:strCache>
            </c:strRef>
          </c:tx>
          <c:spPr>
            <a:solidFill>
              <a:srgbClr val="46aac4"/>
            </a:solidFill>
            <a:ln w="4752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Data'!$B$29:$Y$29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803979"/>
        <c:axId val="10784515"/>
      </c:lineChart>
      <c:catAx>
        <c:axId val="278039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n-IN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IN" sz="1000" spc="-1" strike="noStrike">
                    <a:solidFill>
                      <a:srgbClr val="000000"/>
                    </a:solidFill>
                    <a:latin typeface="Calibri"/>
                  </a:rPr>
                  <a:t>Round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84515"/>
        <c:crosses val="autoZero"/>
        <c:auto val="1"/>
        <c:lblAlgn val="ctr"/>
        <c:lblOffset val="100"/>
        <c:noMultiLvlLbl val="0"/>
      </c:catAx>
      <c:valAx>
        <c:axId val="107845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IN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IN" sz="1000" spc="-1" strike="noStrike">
                    <a:solidFill>
                      <a:srgbClr val="000000"/>
                    </a:solidFill>
                    <a:latin typeface="Calibri"/>
                  </a:rPr>
                  <a:t>Cumulative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039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IN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IN" sz="1800" spc="-1" strike="noStrike">
                <a:solidFill>
                  <a:srgbClr val="000000"/>
                </a:solidFill>
                <a:latin typeface="Calibri"/>
              </a:rPr>
              <a:t>Championship Gap to Leader — Top 6 Drivers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"'Chart Data'!$A$51"</c:f>
              <c:strCache>
                <c:ptCount val="1"/>
                <c:pt idx="0">
                  <c:v>'Chart Data'!$A$51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Data'!$B$51:$Y$51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"'Chart Data'!$A$52"</c:f>
              <c:strCache>
                <c:ptCount val="1"/>
                <c:pt idx="0">
                  <c:v>'Chart Data'!$A$52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Data'!$B$52:$Y$52</c:f>
              <c:numCache>
                <c:formatCode>General</c:formatCode>
                <c:ptCount val="24"/>
                <c:pt idx="0">
                  <c:v>7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"'Chart Data'!$A$53"</c:f>
              <c:strCache>
                <c:ptCount val="1"/>
                <c:pt idx="0">
                  <c:v>'Chart Data'!$A$53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Data'!$B$53:$Y$53</c:f>
              <c:numCache>
                <c:formatCode>General</c:formatCode>
                <c:ptCount val="24"/>
                <c:pt idx="0">
                  <c:v>10</c:v>
                </c:pt>
                <c:pt idx="1">
                  <c:v>17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"'Chart Data'!$A$54"</c:f>
              <c:strCache>
                <c:ptCount val="1"/>
                <c:pt idx="0">
                  <c:v>'Chart Data'!$A$54</c:v>
                </c:pt>
              </c:strCache>
            </c:strRef>
          </c:tx>
          <c:spPr>
            <a:solidFill>
              <a:srgbClr val="7d5fa0"/>
            </a:solidFill>
            <a:ln w="4752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Data'!$B$54:$Y$54</c:f>
              <c:numCache>
                <c:formatCode>General</c:formatCode>
                <c:ptCount val="24"/>
                <c:pt idx="0">
                  <c:v>13</c:v>
                </c:pt>
                <c:pt idx="1">
                  <c:v>18</c:v>
                </c:pt>
                <c:pt idx="2">
                  <c:v>31</c:v>
                </c:pt>
                <c:pt idx="3">
                  <c:v>31</c:v>
                </c:pt>
                <c:pt idx="4">
                  <c:v>31</c:v>
                </c:pt>
                <c:pt idx="5">
                  <c:v>31</c:v>
                </c:pt>
                <c:pt idx="6">
                  <c:v>31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31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"'Chart Data'!$A$55"</c:f>
              <c:strCache>
                <c:ptCount val="1"/>
                <c:pt idx="0">
                  <c:v>'Chart Data'!$A$55</c:v>
                </c:pt>
              </c:strCache>
            </c:strRef>
          </c:tx>
          <c:spPr>
            <a:solidFill>
              <a:srgbClr val="46aac4"/>
            </a:solidFill>
            <a:ln w="4752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Data'!$B$55:$Y$55</c:f>
              <c:numCache>
                <c:formatCode>General</c:formatCode>
                <c:ptCount val="24"/>
                <c:pt idx="0">
                  <c:v>19</c:v>
                </c:pt>
                <c:pt idx="1">
                  <c:v>34</c:v>
                </c:pt>
                <c:pt idx="2">
                  <c:v>55</c:v>
                </c:pt>
                <c:pt idx="3">
                  <c:v>55</c:v>
                </c:pt>
                <c:pt idx="4">
                  <c:v>55</c:v>
                </c:pt>
                <c:pt idx="5">
                  <c:v>55</c:v>
                </c:pt>
                <c:pt idx="6">
                  <c:v>55</c:v>
                </c:pt>
                <c:pt idx="7">
                  <c:v>55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"'Chart Data'!$A$56"</c:f>
              <c:strCache>
                <c:ptCount val="1"/>
                <c:pt idx="0">
                  <c:v>'Chart Data'!$A$56</c:v>
                </c:pt>
              </c:strCache>
            </c:strRef>
          </c:tx>
          <c:spPr>
            <a:solidFill>
              <a:srgbClr val="f59240"/>
            </a:solidFill>
            <a:ln w="4752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'Chart Data'!$B$56:$Y$56</c:f>
              <c:numCache>
                <c:formatCode>General</c:formatCode>
                <c:ptCount val="24"/>
                <c:pt idx="0">
                  <c:v>15</c:v>
                </c:pt>
                <c:pt idx="1">
                  <c:v>36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37</c:v>
                </c:pt>
                <c:pt idx="17">
                  <c:v>37</c:v>
                </c:pt>
                <c:pt idx="18">
                  <c:v>37</c:v>
                </c:pt>
                <c:pt idx="19">
                  <c:v>37</c:v>
                </c:pt>
                <c:pt idx="20">
                  <c:v>37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813294"/>
        <c:axId val="36974468"/>
      </c:lineChart>
      <c:catAx>
        <c:axId val="328132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n-IN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IN" sz="1000" spc="-1" strike="noStrike">
                    <a:solidFill>
                      <a:srgbClr val="000000"/>
                    </a:solidFill>
                    <a:latin typeface="Calibri"/>
                  </a:rPr>
                  <a:t>Round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974468"/>
        <c:crosses val="autoZero"/>
        <c:auto val="1"/>
        <c:lblAlgn val="ctr"/>
        <c:lblOffset val="100"/>
        <c:noMultiLvlLbl val="0"/>
      </c:catAx>
      <c:valAx>
        <c:axId val="3697446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IN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IN" sz="1000" spc="-1" strike="noStrike">
                    <a:solidFill>
                      <a:srgbClr val="000000"/>
                    </a:solidFill>
                    <a:latin typeface="Calibri"/>
                  </a:rPr>
                  <a:t>Points Behind Leader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132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IN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IN" sz="1800" spc="-1" strike="noStrike">
                <a:solidFill>
                  <a:srgbClr val="000000"/>
                </a:solidFill>
                <a:latin typeface="Calibri"/>
              </a:rPr>
              <a:t>Constructor Championship — Total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'Constructor Standings'!$D$1</c:f>
              <c:strCache>
                <c:ptCount val="1"/>
                <c:pt idx="0">
                  <c:v>Total Points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'Constructor Standings'!$B$2:$B$11</c:f>
              <c:strCache>
                <c:ptCount val="10"/>
                <c:pt idx="0">
                  <c:v>Mercedes</c:v>
                </c:pt>
                <c:pt idx="1">
                  <c:v>Ferrari</c:v>
                </c:pt>
                <c:pt idx="2">
                  <c:v>McLaren</c:v>
                </c:pt>
                <c:pt idx="3">
                  <c:v>Haas</c:v>
                </c:pt>
                <c:pt idx="4">
                  <c:v>Red Bull Racing</c:v>
                </c:pt>
                <c:pt idx="5">
                  <c:v>Racing Bulls</c:v>
                </c:pt>
                <c:pt idx="6">
                  <c:v>Alpine</c:v>
                </c:pt>
                <c:pt idx="7">
                  <c:v>Williams</c:v>
                </c:pt>
                <c:pt idx="8">
                  <c:v>Audi</c:v>
                </c:pt>
                <c:pt idx="9">
                  <c:v>Aston Martin</c:v>
                </c:pt>
              </c:strCache>
            </c:strRef>
          </c:cat>
          <c:val>
            <c:numRef>
              <c:f>'Constructor Standings'!$D$2:$D$11</c:f>
              <c:numCache>
                <c:formatCode>General</c:formatCode>
                <c:ptCount val="10"/>
                <c:pt idx="0">
                  <c:v>135</c:v>
                </c:pt>
                <c:pt idx="1">
                  <c:v>90</c:v>
                </c:pt>
                <c:pt idx="2">
                  <c:v>46</c:v>
                </c:pt>
                <c:pt idx="3">
                  <c:v>18</c:v>
                </c:pt>
                <c:pt idx="4">
                  <c:v>16</c:v>
                </c:pt>
                <c:pt idx="5">
                  <c:v>14</c:v>
                </c:pt>
                <c:pt idx="6">
                  <c:v>16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2586271"/>
        <c:axId val="4872600"/>
      </c:barChart>
      <c:catAx>
        <c:axId val="25862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2600"/>
        <c:crosses val="autoZero"/>
        <c:auto val="1"/>
        <c:lblAlgn val="ctr"/>
        <c:lblOffset val="100"/>
        <c:noMultiLvlLbl val="0"/>
      </c:catAx>
      <c:valAx>
        <c:axId val="4872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862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</xdr:row>
      <xdr:rowOff>0</xdr:rowOff>
    </xdr:from>
    <xdr:to>
      <xdr:col>26</xdr:col>
      <xdr:colOff>221040</xdr:colOff>
      <xdr:row>29</xdr:row>
      <xdr:rowOff>64800</xdr:rowOff>
    </xdr:to>
    <xdr:graphicFrame>
      <xdr:nvGraphicFramePr>
        <xdr:cNvPr id="0" name="Chart 1"/>
        <xdr:cNvGraphicFramePr/>
      </xdr:nvGraphicFramePr>
      <xdr:xfrm>
        <a:off x="10643400" y="438120"/>
        <a:ext cx="8632080" cy="513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19</xdr:row>
      <xdr:rowOff>0</xdr:rowOff>
    </xdr:from>
    <xdr:to>
      <xdr:col>22</xdr:col>
      <xdr:colOff>506880</xdr:colOff>
      <xdr:row>45</xdr:row>
      <xdr:rowOff>86040</xdr:rowOff>
    </xdr:to>
    <xdr:graphicFrame>
      <xdr:nvGraphicFramePr>
        <xdr:cNvPr id="1" name="Chart 2"/>
        <xdr:cNvGraphicFramePr/>
      </xdr:nvGraphicFramePr>
      <xdr:xfrm>
        <a:off x="10643400" y="3695760"/>
        <a:ext cx="6474600" cy="479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22</xdr:row>
      <xdr:rowOff>0</xdr:rowOff>
    </xdr:from>
    <xdr:to>
      <xdr:col>12</xdr:col>
      <xdr:colOff>352080</xdr:colOff>
      <xdr:row>52</xdr:row>
      <xdr:rowOff>43920</xdr:rowOff>
    </xdr:to>
    <xdr:graphicFrame>
      <xdr:nvGraphicFramePr>
        <xdr:cNvPr id="2" name="Chart 3"/>
        <xdr:cNvGraphicFramePr/>
      </xdr:nvGraphicFramePr>
      <xdr:xfrm>
        <a:off x="0" y="4238640"/>
        <a:ext cx="10078920" cy="547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12</xdr:col>
      <xdr:colOff>352080</xdr:colOff>
      <xdr:row>69</xdr:row>
      <xdr:rowOff>43920</xdr:rowOff>
    </xdr:to>
    <xdr:graphicFrame>
      <xdr:nvGraphicFramePr>
        <xdr:cNvPr id="3" name="Chart 4"/>
        <xdr:cNvGraphicFramePr/>
      </xdr:nvGraphicFramePr>
      <xdr:xfrm>
        <a:off x="0" y="7315200"/>
        <a:ext cx="10078920" cy="5473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</xdr:row>
      <xdr:rowOff>0</xdr:rowOff>
    </xdr:from>
    <xdr:to>
      <xdr:col>22</xdr:col>
      <xdr:colOff>581040</xdr:colOff>
      <xdr:row>27</xdr:row>
      <xdr:rowOff>86040</xdr:rowOff>
    </xdr:to>
    <xdr:graphicFrame>
      <xdr:nvGraphicFramePr>
        <xdr:cNvPr id="4" name="Chart 1"/>
        <xdr:cNvGraphicFramePr/>
      </xdr:nvGraphicFramePr>
      <xdr:xfrm>
        <a:off x="8364240" y="438120"/>
        <a:ext cx="7911360" cy="479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46" activeCellId="0" sqref="M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5"/>
    <col collapsed="false" customWidth="true" hidden="false" outlineLevel="0" max="8" min="6" style="1" width="6"/>
    <col collapsed="false" customWidth="true" hidden="false" outlineLevel="0" max="9" min="9" style="1" width="2"/>
    <col collapsed="false" customWidth="true" hidden="false" outlineLevel="0" max="10" min="10" style="1" width="6"/>
    <col collapsed="false" customWidth="true" hidden="false" outlineLevel="0" max="11" min="11" style="1" width="18"/>
    <col collapsed="false" customWidth="true" hidden="false" outlineLevel="0" max="12" min="12" style="1" width="16"/>
    <col collapsed="false" customWidth="true" hidden="false" outlineLevel="0" max="13" min="13" style="1" width="8"/>
    <col collapsed="false" customWidth="true" hidden="false" outlineLevel="0" max="16" min="14" style="1" width="6"/>
    <col collapsed="false" customWidth="true" hidden="false" outlineLevel="0" max="17" min="17" style="1" width="2"/>
  </cols>
  <sheetData>
    <row r="1" customFormat="false" ht="4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4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9.5" hidden="false" customHeight="true" outlineLevel="0" collapsed="false">
      <c r="A3" s="3" t="s">
        <v>1</v>
      </c>
      <c r="B3" s="3"/>
      <c r="C3" s="3"/>
      <c r="D3" s="3" t="s">
        <v>2</v>
      </c>
      <c r="E3" s="3"/>
      <c r="F3" s="3"/>
      <c r="G3" s="3"/>
      <c r="H3" s="3" t="s">
        <v>3</v>
      </c>
      <c r="I3" s="3"/>
      <c r="J3" s="3"/>
      <c r="K3" s="3"/>
      <c r="L3" s="3" t="s">
        <v>4</v>
      </c>
      <c r="M3" s="3"/>
      <c r="N3" s="3"/>
      <c r="O3" s="3" t="s">
        <v>5</v>
      </c>
      <c r="P3" s="3"/>
      <c r="Q3" s="3"/>
    </row>
    <row r="4" customFormat="false" ht="21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customFormat="false" ht="37.5" hidden="false" customHeight="true" outlineLevel="0" collapsed="false">
      <c r="A5" s="5" t="str">
        <f aca="false">COUNTIF(Calendar!$J$2:$J$25,"Completed")&amp;" / 24"</f>
        <v>3 / 24</v>
      </c>
      <c r="B5" s="5"/>
      <c r="C5" s="5"/>
      <c r="D5" s="5" t="str">
        <f aca="false">IFERROR(INDEX('Driver Standings'!$B$2:$B$21,MATCH(1,'Driver Standings'!$A$2:$A$21,0)),"-")</f>
        <v>Andrea Kimi Antonelli</v>
      </c>
      <c r="E5" s="5"/>
      <c r="F5" s="5"/>
      <c r="G5" s="5"/>
      <c r="H5" s="5" t="str">
        <f aca="false">IFERROR(INDEX('Constructor Standings'!$B$2:$B$11,MATCH(1,'Constructor Standings'!$A$2:$A$11,0)),"-")</f>
        <v>Mercedes</v>
      </c>
      <c r="I5" s="5"/>
      <c r="J5" s="5"/>
      <c r="K5" s="5"/>
      <c r="L5" s="5" t="str">
        <f aca="false">IFERROR(INDEX('Driver Standings'!$B$2:$B$21,MATCH(MAX('Driver Standings'!$F$2:$F$21),'Driver Standings'!$F$2:$F$21,0)),"-")</f>
        <v>Andrea Kimi Antonelli</v>
      </c>
      <c r="M5" s="5"/>
      <c r="N5" s="5"/>
      <c r="O5" s="5" t="str">
        <f aca="false">IFERROR(INDEX('Driver Standings'!$B$2:$B$21,MATCH(MAX('Driver Standings'!$J$2:$J$21),'Driver Standings'!$J$2:$J$21,0)),"-")</f>
        <v>Charles Leclerc</v>
      </c>
      <c r="P5" s="5"/>
      <c r="Q5" s="5"/>
    </row>
    <row r="6" customFormat="false" ht="6" hidden="false" customHeight="true" outlineLevel="0" collapsed="false"/>
    <row r="7" customFormat="false" ht="24.75" hidden="false" customHeight="true" outlineLevel="0" collapsed="false">
      <c r="A7" s="6" t="s">
        <v>6</v>
      </c>
      <c r="B7" s="6" t="s">
        <v>7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J7" s="7" t="s">
        <v>6</v>
      </c>
      <c r="K7" s="7" t="s">
        <v>14</v>
      </c>
      <c r="L7" s="7" t="s">
        <v>15</v>
      </c>
      <c r="M7" s="7" t="s">
        <v>16</v>
      </c>
      <c r="N7" s="7" t="s">
        <v>17</v>
      </c>
      <c r="O7" s="7" t="s">
        <v>13</v>
      </c>
      <c r="P7" s="7" t="s">
        <v>18</v>
      </c>
    </row>
    <row r="8" customFormat="false" ht="15.75" hidden="false" customHeight="true" outlineLevel="0" collapsed="false">
      <c r="A8" s="8" t="n">
        <f aca="false">'Driver Standings'!A2</f>
        <v>2</v>
      </c>
      <c r="B8" s="9" t="str">
        <f aca="false">'Driver Standings'!B2</f>
        <v>George Russell</v>
      </c>
      <c r="C8" s="9" t="str">
        <f aca="false">'Driver Standings'!C2</f>
        <v>Mercedes</v>
      </c>
      <c r="D8" s="8" t="n">
        <f aca="false">'Driver Standings'!E2</f>
        <v>63</v>
      </c>
      <c r="E8" s="8" t="n">
        <f aca="false">'Driver Standings'!F2</f>
        <v>55</v>
      </c>
      <c r="F8" s="8" t="n">
        <f aca="false">'Driver Standings'!G2</f>
        <v>8</v>
      </c>
      <c r="G8" s="8" t="n">
        <f aca="false">'Driver Standings'!H2</f>
        <v>1</v>
      </c>
      <c r="H8" s="8" t="n">
        <f aca="false">'Driver Standings'!K2</f>
        <v>2</v>
      </c>
      <c r="J8" s="8" t="n">
        <f aca="false">'Constructor Standings'!A2</f>
        <v>1</v>
      </c>
      <c r="K8" s="9" t="str">
        <f aca="false">'Constructor Standings'!B2</f>
        <v>Mercedes</v>
      </c>
      <c r="L8" s="9" t="str">
        <f aca="false">'Constructor Standings'!C2</f>
        <v>Mercedes</v>
      </c>
      <c r="M8" s="8" t="n">
        <f aca="false">'Constructor Standings'!D2</f>
        <v>135</v>
      </c>
      <c r="N8" s="8" t="n">
        <f aca="false">'Constructor Standings'!E2</f>
        <v>3</v>
      </c>
      <c r="O8" s="8" t="n">
        <f aca="false">'Constructor Standings'!F2</f>
        <v>5</v>
      </c>
      <c r="P8" s="8" t="n">
        <f aca="false">'Constructor Standings'!H2</f>
        <v>3</v>
      </c>
    </row>
    <row r="9" customFormat="false" ht="15.75" hidden="false" customHeight="true" outlineLevel="0" collapsed="false">
      <c r="A9" s="10" t="n">
        <f aca="false">'Driver Standings'!A3</f>
        <v>1</v>
      </c>
      <c r="B9" s="11" t="str">
        <f aca="false">'Driver Standings'!B3</f>
        <v>Andrea Kimi Antonelli</v>
      </c>
      <c r="C9" s="11" t="str">
        <f aca="false">'Driver Standings'!C3</f>
        <v>Mercedes</v>
      </c>
      <c r="D9" s="10" t="n">
        <f aca="false">'Driver Standings'!E3</f>
        <v>72</v>
      </c>
      <c r="E9" s="10" t="n">
        <f aca="false">'Driver Standings'!F3</f>
        <v>68</v>
      </c>
      <c r="F9" s="10" t="n">
        <f aca="false">'Driver Standings'!G3</f>
        <v>4</v>
      </c>
      <c r="G9" s="10" t="n">
        <f aca="false">'Driver Standings'!H3</f>
        <v>2</v>
      </c>
      <c r="H9" s="10" t="n">
        <f aca="false">'Driver Standings'!K3</f>
        <v>3</v>
      </c>
      <c r="J9" s="10" t="n">
        <f aca="false">'Constructor Standings'!A3</f>
        <v>2</v>
      </c>
      <c r="K9" s="11" t="str">
        <f aca="false">'Constructor Standings'!B3</f>
        <v>Ferrari</v>
      </c>
      <c r="L9" s="11" t="str">
        <f aca="false">'Constructor Standings'!C3</f>
        <v>Ferrari</v>
      </c>
      <c r="M9" s="10" t="n">
        <f aca="false">'Constructor Standings'!D3</f>
        <v>90</v>
      </c>
      <c r="N9" s="10" t="n">
        <f aca="false">'Constructor Standings'!E3</f>
        <v>0</v>
      </c>
      <c r="O9" s="10" t="n">
        <f aca="false">'Constructor Standings'!F3</f>
        <v>3</v>
      </c>
      <c r="P9" s="10" t="n">
        <f aca="false">'Constructor Standings'!H3</f>
        <v>0</v>
      </c>
    </row>
    <row r="10" customFormat="false" ht="15.75" hidden="false" customHeight="true" outlineLevel="0" collapsed="false">
      <c r="A10" s="8" t="n">
        <f aca="false">'Driver Standings'!A4</f>
        <v>3</v>
      </c>
      <c r="B10" s="9" t="str">
        <f aca="false">'Driver Standings'!B4</f>
        <v>Charles Leclerc</v>
      </c>
      <c r="C10" s="9" t="str">
        <f aca="false">'Driver Standings'!C4</f>
        <v>Ferrari</v>
      </c>
      <c r="D10" s="8" t="n">
        <f aca="false">'Driver Standings'!E4</f>
        <v>49</v>
      </c>
      <c r="E10" s="8" t="n">
        <f aca="false">'Driver Standings'!F4</f>
        <v>42</v>
      </c>
      <c r="F10" s="8" t="n">
        <f aca="false">'Driver Standings'!G4</f>
        <v>7</v>
      </c>
      <c r="G10" s="8" t="n">
        <f aca="false">'Driver Standings'!H4</f>
        <v>0</v>
      </c>
      <c r="H10" s="8" t="n">
        <f aca="false">'Driver Standings'!K4</f>
        <v>2</v>
      </c>
      <c r="J10" s="8" t="n">
        <f aca="false">'Constructor Standings'!A4</f>
        <v>3</v>
      </c>
      <c r="K10" s="9" t="str">
        <f aca="false">'Constructor Standings'!B4</f>
        <v>McLaren</v>
      </c>
      <c r="L10" s="9" t="str">
        <f aca="false">'Constructor Standings'!C4</f>
        <v>Mercedes</v>
      </c>
      <c r="M10" s="8" t="n">
        <f aca="false">'Constructor Standings'!D4</f>
        <v>46</v>
      </c>
      <c r="N10" s="8" t="n">
        <f aca="false">'Constructor Standings'!E4</f>
        <v>0</v>
      </c>
      <c r="O10" s="8" t="n">
        <f aca="false">'Constructor Standings'!F4</f>
        <v>1</v>
      </c>
      <c r="P10" s="8" t="n">
        <f aca="false">'Constructor Standings'!H4</f>
        <v>0</v>
      </c>
    </row>
    <row r="11" customFormat="false" ht="15.75" hidden="false" customHeight="true" outlineLevel="0" collapsed="false">
      <c r="A11" s="10" t="n">
        <f aca="false">'Driver Standings'!A5</f>
        <v>4</v>
      </c>
      <c r="B11" s="11" t="str">
        <f aca="false">'Driver Standings'!B5</f>
        <v>Lewis Hamilton</v>
      </c>
      <c r="C11" s="11" t="str">
        <f aca="false">'Driver Standings'!C5</f>
        <v>Ferrari</v>
      </c>
      <c r="D11" s="10" t="n">
        <f aca="false">'Driver Standings'!E5</f>
        <v>41</v>
      </c>
      <c r="E11" s="10" t="n">
        <f aca="false">'Driver Standings'!F5</f>
        <v>35</v>
      </c>
      <c r="F11" s="10" t="n">
        <f aca="false">'Driver Standings'!G5</f>
        <v>6</v>
      </c>
      <c r="G11" s="10" t="n">
        <f aca="false">'Driver Standings'!H5</f>
        <v>0</v>
      </c>
      <c r="H11" s="10" t="n">
        <f aca="false">'Driver Standings'!K5</f>
        <v>1</v>
      </c>
      <c r="J11" s="10" t="n">
        <f aca="false">'Constructor Standings'!A5</f>
        <v>4</v>
      </c>
      <c r="K11" s="11" t="str">
        <f aca="false">'Constructor Standings'!B5</f>
        <v>Haas</v>
      </c>
      <c r="L11" s="11" t="str">
        <f aca="false">'Constructor Standings'!C5</f>
        <v>Ferrari</v>
      </c>
      <c r="M11" s="10" t="n">
        <f aca="false">'Constructor Standings'!D5</f>
        <v>18</v>
      </c>
      <c r="N11" s="10" t="n">
        <f aca="false">'Constructor Standings'!E5</f>
        <v>0</v>
      </c>
      <c r="O11" s="10" t="n">
        <f aca="false">'Constructor Standings'!F5</f>
        <v>0</v>
      </c>
      <c r="P11" s="10" t="n">
        <f aca="false">'Constructor Standings'!H5</f>
        <v>0</v>
      </c>
    </row>
    <row r="12" customFormat="false" ht="15.75" hidden="false" customHeight="true" outlineLevel="0" collapsed="false">
      <c r="A12" s="8" t="n">
        <f aca="false">'Driver Standings'!A6</f>
        <v>7</v>
      </c>
      <c r="B12" s="9" t="str">
        <f aca="false">'Driver Standings'!B6</f>
        <v>Oliver Bearman</v>
      </c>
      <c r="C12" s="9" t="str">
        <f aca="false">'Driver Standings'!C6</f>
        <v>Haas</v>
      </c>
      <c r="D12" s="8" t="n">
        <f aca="false">'Driver Standings'!E6</f>
        <v>17</v>
      </c>
      <c r="E12" s="8" t="n">
        <f aca="false">'Driver Standings'!F6</f>
        <v>16</v>
      </c>
      <c r="F12" s="8" t="n">
        <f aca="false">'Driver Standings'!G6</f>
        <v>1</v>
      </c>
      <c r="G12" s="8" t="n">
        <f aca="false">'Driver Standings'!H6</f>
        <v>0</v>
      </c>
      <c r="H12" s="8" t="n">
        <f aca="false">'Driver Standings'!K6</f>
        <v>0</v>
      </c>
      <c r="J12" s="8" t="n">
        <f aca="false">'Constructor Standings'!A6</f>
        <v>5</v>
      </c>
      <c r="K12" s="9" t="str">
        <f aca="false">'Constructor Standings'!B6</f>
        <v>Red Bull Racing</v>
      </c>
      <c r="L12" s="9" t="str">
        <f aca="false">'Constructor Standings'!C6</f>
        <v>Red Bull Powertrains/Ford</v>
      </c>
      <c r="M12" s="8" t="n">
        <f aca="false">'Constructor Standings'!D6</f>
        <v>16</v>
      </c>
      <c r="N12" s="8" t="n">
        <f aca="false">'Constructor Standings'!E6</f>
        <v>0</v>
      </c>
      <c r="O12" s="8" t="n">
        <f aca="false">'Constructor Standings'!F6</f>
        <v>0</v>
      </c>
      <c r="P12" s="8" t="n">
        <f aca="false">'Constructor Standings'!H6</f>
        <v>0</v>
      </c>
    </row>
    <row r="13" customFormat="false" ht="15.75" hidden="false" customHeight="true" outlineLevel="0" collapsed="false">
      <c r="A13" s="10" t="n">
        <f aca="false">'Driver Standings'!A7</f>
        <v>5</v>
      </c>
      <c r="B13" s="11" t="str">
        <f aca="false">'Driver Standings'!B7</f>
        <v>Lando Norris</v>
      </c>
      <c r="C13" s="11" t="str">
        <f aca="false">'Driver Standings'!C7</f>
        <v>McLaren</v>
      </c>
      <c r="D13" s="10" t="n">
        <f aca="false">'Driver Standings'!E7</f>
        <v>25</v>
      </c>
      <c r="E13" s="10" t="n">
        <f aca="false">'Driver Standings'!F7</f>
        <v>20</v>
      </c>
      <c r="F13" s="10" t="n">
        <f aca="false">'Driver Standings'!G7</f>
        <v>5</v>
      </c>
      <c r="G13" s="10" t="n">
        <f aca="false">'Driver Standings'!H7</f>
        <v>0</v>
      </c>
      <c r="H13" s="10" t="n">
        <f aca="false">'Driver Standings'!K7</f>
        <v>0</v>
      </c>
      <c r="J13" s="10" t="n">
        <f aca="false">'Constructor Standings'!A7</f>
        <v>7</v>
      </c>
      <c r="K13" s="11" t="str">
        <f aca="false">'Constructor Standings'!B7</f>
        <v>Racing Bulls</v>
      </c>
      <c r="L13" s="11" t="str">
        <f aca="false">'Constructor Standings'!C7</f>
        <v>Red Bull Powertrains/Ford</v>
      </c>
      <c r="M13" s="10" t="n">
        <f aca="false">'Constructor Standings'!D7</f>
        <v>14</v>
      </c>
      <c r="N13" s="10" t="n">
        <f aca="false">'Constructor Standings'!E7</f>
        <v>0</v>
      </c>
      <c r="O13" s="10" t="n">
        <f aca="false">'Constructor Standings'!F7</f>
        <v>0</v>
      </c>
      <c r="P13" s="10" t="n">
        <f aca="false">'Constructor Standings'!H7</f>
        <v>0</v>
      </c>
    </row>
    <row r="14" customFormat="false" ht="15.75" hidden="false" customHeight="true" outlineLevel="0" collapsed="false">
      <c r="A14" s="8" t="n">
        <f aca="false">'Driver Standings'!A8</f>
        <v>8</v>
      </c>
      <c r="B14" s="9" t="str">
        <f aca="false">'Driver Standings'!B8</f>
        <v>Pierre Gasly</v>
      </c>
      <c r="C14" s="9" t="str">
        <f aca="false">'Driver Standings'!C8</f>
        <v>Alpine</v>
      </c>
      <c r="D14" s="8" t="n">
        <f aca="false">'Driver Standings'!E8</f>
        <v>15</v>
      </c>
      <c r="E14" s="8" t="n">
        <f aca="false">'Driver Standings'!F8</f>
        <v>15</v>
      </c>
      <c r="F14" s="8" t="n">
        <f aca="false">'Driver Standings'!G8</f>
        <v>0</v>
      </c>
      <c r="G14" s="8" t="n">
        <f aca="false">'Driver Standings'!H8</f>
        <v>0</v>
      </c>
      <c r="H14" s="8" t="n">
        <f aca="false">'Driver Standings'!K8</f>
        <v>0</v>
      </c>
      <c r="J14" s="8" t="n">
        <f aca="false">'Constructor Standings'!A8</f>
        <v>5</v>
      </c>
      <c r="K14" s="9" t="str">
        <f aca="false">'Constructor Standings'!B8</f>
        <v>Alpine</v>
      </c>
      <c r="L14" s="9" t="str">
        <f aca="false">'Constructor Standings'!C8</f>
        <v>Mercedes</v>
      </c>
      <c r="M14" s="8" t="n">
        <f aca="false">'Constructor Standings'!D8</f>
        <v>16</v>
      </c>
      <c r="N14" s="8" t="n">
        <f aca="false">'Constructor Standings'!E8</f>
        <v>0</v>
      </c>
      <c r="O14" s="8" t="n">
        <f aca="false">'Constructor Standings'!F8</f>
        <v>0</v>
      </c>
      <c r="P14" s="8" t="n">
        <f aca="false">'Constructor Standings'!H8</f>
        <v>0</v>
      </c>
    </row>
    <row r="15" customFormat="false" ht="15.75" hidden="false" customHeight="true" outlineLevel="0" collapsed="false">
      <c r="A15" s="10" t="n">
        <f aca="false">'Driver Standings'!A9</f>
        <v>9</v>
      </c>
      <c r="B15" s="11" t="str">
        <f aca="false">'Driver Standings'!B9</f>
        <v>Max Verstappen</v>
      </c>
      <c r="C15" s="11" t="str">
        <f aca="false">'Driver Standings'!C9</f>
        <v>Red Bull Racing</v>
      </c>
      <c r="D15" s="10" t="n">
        <f aca="false">'Driver Standings'!E9</f>
        <v>12</v>
      </c>
      <c r="E15" s="10" t="n">
        <f aca="false">'Driver Standings'!F9</f>
        <v>12</v>
      </c>
      <c r="F15" s="10" t="n">
        <f aca="false">'Driver Standings'!G9</f>
        <v>0</v>
      </c>
      <c r="G15" s="10" t="n">
        <f aca="false">'Driver Standings'!H9</f>
        <v>0</v>
      </c>
      <c r="H15" s="10" t="n">
        <f aca="false">'Driver Standings'!K9</f>
        <v>0</v>
      </c>
      <c r="J15" s="10" t="n">
        <f aca="false">'Constructor Standings'!A9</f>
        <v>8</v>
      </c>
      <c r="K15" s="11" t="str">
        <f aca="false">'Constructor Standings'!B9</f>
        <v>Williams</v>
      </c>
      <c r="L15" s="11" t="str">
        <f aca="false">'Constructor Standings'!C9</f>
        <v>Mercedes</v>
      </c>
      <c r="M15" s="10" t="n">
        <f aca="false">'Constructor Standings'!D9</f>
        <v>2</v>
      </c>
      <c r="N15" s="10" t="n">
        <f aca="false">'Constructor Standings'!E9</f>
        <v>0</v>
      </c>
      <c r="O15" s="10" t="n">
        <f aca="false">'Constructor Standings'!F9</f>
        <v>0</v>
      </c>
      <c r="P15" s="10" t="n">
        <f aca="false">'Constructor Standings'!H9</f>
        <v>0</v>
      </c>
    </row>
    <row r="16" customFormat="false" ht="15.75" hidden="false" customHeight="true" outlineLevel="0" collapsed="false">
      <c r="A16" s="8" t="n">
        <f aca="false">'Driver Standings'!A10</f>
        <v>10</v>
      </c>
      <c r="B16" s="9" t="str">
        <f aca="false">'Driver Standings'!B10</f>
        <v>Liam Lawson</v>
      </c>
      <c r="C16" s="9" t="str">
        <f aca="false">'Driver Standings'!C10</f>
        <v>Racing Bulls</v>
      </c>
      <c r="D16" s="8" t="n">
        <f aca="false">'Driver Standings'!E10</f>
        <v>10</v>
      </c>
      <c r="E16" s="8" t="n">
        <f aca="false">'Driver Standings'!F10</f>
        <v>8</v>
      </c>
      <c r="F16" s="8" t="n">
        <f aca="false">'Driver Standings'!G10</f>
        <v>2</v>
      </c>
      <c r="G16" s="8" t="n">
        <f aca="false">'Driver Standings'!H10</f>
        <v>0</v>
      </c>
      <c r="H16" s="8" t="n">
        <f aca="false">'Driver Standings'!K10</f>
        <v>0</v>
      </c>
      <c r="J16" s="8" t="n">
        <f aca="false">'Constructor Standings'!A10</f>
        <v>8</v>
      </c>
      <c r="K16" s="9" t="str">
        <f aca="false">'Constructor Standings'!B10</f>
        <v>Audi</v>
      </c>
      <c r="L16" s="9" t="str">
        <f aca="false">'Constructor Standings'!C10</f>
        <v>Audi</v>
      </c>
      <c r="M16" s="8" t="n">
        <f aca="false">'Constructor Standings'!D10</f>
        <v>2</v>
      </c>
      <c r="N16" s="8" t="n">
        <f aca="false">'Constructor Standings'!E10</f>
        <v>0</v>
      </c>
      <c r="O16" s="8" t="n">
        <f aca="false">'Constructor Standings'!F10</f>
        <v>0</v>
      </c>
      <c r="P16" s="8" t="n">
        <f aca="false">'Constructor Standings'!H10</f>
        <v>0</v>
      </c>
    </row>
    <row r="17" customFormat="false" ht="15.75" hidden="false" customHeight="true" outlineLevel="0" collapsed="false">
      <c r="A17" s="10" t="n">
        <f aca="false">'Driver Standings'!A11</f>
        <v>11</v>
      </c>
      <c r="B17" s="11" t="str">
        <f aca="false">'Driver Standings'!B11</f>
        <v>Isack Hadjar</v>
      </c>
      <c r="C17" s="11" t="str">
        <f aca="false">'Driver Standings'!C11</f>
        <v>Red Bull Racing</v>
      </c>
      <c r="D17" s="10" t="n">
        <f aca="false">'Driver Standings'!E11</f>
        <v>4</v>
      </c>
      <c r="E17" s="10" t="n">
        <f aca="false">'Driver Standings'!F11</f>
        <v>4</v>
      </c>
      <c r="F17" s="10" t="n">
        <f aca="false">'Driver Standings'!G11</f>
        <v>0</v>
      </c>
      <c r="G17" s="10" t="n">
        <f aca="false">'Driver Standings'!H11</f>
        <v>0</v>
      </c>
      <c r="H17" s="10" t="n">
        <f aca="false">'Driver Standings'!K11</f>
        <v>0</v>
      </c>
      <c r="J17" s="10" t="n">
        <f aca="false">'Constructor Standings'!A11</f>
        <v>10</v>
      </c>
      <c r="K17" s="11" t="str">
        <f aca="false">'Constructor Standings'!B11</f>
        <v>Aston Martin</v>
      </c>
      <c r="L17" s="11" t="str">
        <f aca="false">'Constructor Standings'!C11</f>
        <v>Honda</v>
      </c>
      <c r="M17" s="10" t="n">
        <f aca="false">'Constructor Standings'!D11</f>
        <v>0</v>
      </c>
      <c r="N17" s="10" t="n">
        <f aca="false">'Constructor Standings'!E11</f>
        <v>0</v>
      </c>
      <c r="O17" s="10" t="n">
        <f aca="false">'Constructor Standings'!F11</f>
        <v>0</v>
      </c>
      <c r="P17" s="10" t="n">
        <f aca="false">'Constructor Standings'!H11</f>
        <v>0</v>
      </c>
    </row>
    <row r="18" customFormat="false" ht="15.75" hidden="false" customHeight="true" outlineLevel="0" collapsed="false">
      <c r="A18" s="8" t="n">
        <f aca="false">'Driver Standings'!A12</f>
        <v>11</v>
      </c>
      <c r="B18" s="9" t="str">
        <f aca="false">'Driver Standings'!B12</f>
        <v>Arvid Lindblad</v>
      </c>
      <c r="C18" s="9" t="str">
        <f aca="false">'Driver Standings'!C12</f>
        <v>Racing Bulls</v>
      </c>
      <c r="D18" s="8" t="n">
        <f aca="false">'Driver Standings'!E12</f>
        <v>4</v>
      </c>
      <c r="E18" s="8" t="n">
        <f aca="false">'Driver Standings'!F12</f>
        <v>4</v>
      </c>
      <c r="F18" s="8" t="n">
        <f aca="false">'Driver Standings'!G12</f>
        <v>0</v>
      </c>
      <c r="G18" s="8" t="n">
        <f aca="false">'Driver Standings'!H12</f>
        <v>0</v>
      </c>
      <c r="H18" s="8" t="n">
        <f aca="false">'Driver Standings'!K12</f>
        <v>0</v>
      </c>
      <c r="J18" s="8" t="n">
        <f aca="false">'Constructor Standings'!A12</f>
        <v>10</v>
      </c>
      <c r="K18" s="9" t="str">
        <f aca="false">'Constructor Standings'!B12</f>
        <v>Cadillac</v>
      </c>
      <c r="L18" s="9" t="str">
        <f aca="false">'Constructor Standings'!C12</f>
        <v>Ferrari</v>
      </c>
      <c r="M18" s="8" t="n">
        <f aca="false">'Constructor Standings'!D12</f>
        <v>0</v>
      </c>
      <c r="N18" s="8" t="n">
        <f aca="false">'Constructor Standings'!E12</f>
        <v>0</v>
      </c>
      <c r="O18" s="8" t="n">
        <f aca="false">'Constructor Standings'!F12</f>
        <v>0</v>
      </c>
      <c r="P18" s="8" t="n">
        <f aca="false">'Constructor Standings'!H12</f>
        <v>0</v>
      </c>
    </row>
    <row r="19" customFormat="false" ht="15.75" hidden="false" customHeight="true" outlineLevel="0" collapsed="false">
      <c r="A19" s="10" t="n">
        <f aca="false">'Driver Standings'!A13</f>
        <v>6</v>
      </c>
      <c r="B19" s="11" t="str">
        <f aca="false">'Driver Standings'!B13</f>
        <v>Oscar Piastri</v>
      </c>
      <c r="C19" s="11" t="str">
        <f aca="false">'Driver Standings'!C13</f>
        <v>McLaren</v>
      </c>
      <c r="D19" s="10" t="n">
        <f aca="false">'Driver Standings'!E13</f>
        <v>21</v>
      </c>
      <c r="E19" s="10" t="n">
        <f aca="false">'Driver Standings'!F13</f>
        <v>18</v>
      </c>
      <c r="F19" s="10" t="n">
        <f aca="false">'Driver Standings'!G13</f>
        <v>3</v>
      </c>
      <c r="G19" s="10" t="n">
        <f aca="false">'Driver Standings'!H13</f>
        <v>0</v>
      </c>
      <c r="H19" s="10" t="n">
        <f aca="false">'Driver Standings'!K13</f>
        <v>1</v>
      </c>
    </row>
    <row r="20" customFormat="false" ht="15.75" hidden="false" customHeight="true" outlineLevel="0" collapsed="false">
      <c r="A20" s="8" t="n">
        <f aca="false">'Driver Standings'!A14</f>
        <v>13</v>
      </c>
      <c r="B20" s="9" t="str">
        <f aca="false">'Driver Standings'!B14</f>
        <v>Carlos Sainz</v>
      </c>
      <c r="C20" s="9" t="str">
        <f aca="false">'Driver Standings'!C14</f>
        <v>Williams</v>
      </c>
      <c r="D20" s="8" t="n">
        <f aca="false">'Driver Standings'!E14</f>
        <v>2</v>
      </c>
      <c r="E20" s="8" t="n">
        <f aca="false">'Driver Standings'!F14</f>
        <v>2</v>
      </c>
      <c r="F20" s="8" t="n">
        <f aca="false">'Driver Standings'!G14</f>
        <v>0</v>
      </c>
      <c r="G20" s="8" t="n">
        <f aca="false">'Driver Standings'!H14</f>
        <v>0</v>
      </c>
      <c r="H20" s="8" t="n">
        <f aca="false">'Driver Standings'!K14</f>
        <v>0</v>
      </c>
      <c r="J20" s="12" t="s">
        <v>19</v>
      </c>
      <c r="K20" s="12"/>
      <c r="L20" s="12"/>
      <c r="M20" s="12"/>
      <c r="N20" s="12"/>
      <c r="O20" s="12"/>
      <c r="P20" s="12"/>
    </row>
    <row r="21" customFormat="false" ht="15.75" hidden="false" customHeight="true" outlineLevel="0" collapsed="false">
      <c r="A21" s="10" t="n">
        <f aca="false">'Driver Standings'!A15</f>
        <v>13</v>
      </c>
      <c r="B21" s="11" t="str">
        <f aca="false">'Driver Standings'!B15</f>
        <v>Gabriel Bortoleto</v>
      </c>
      <c r="C21" s="11" t="str">
        <f aca="false">'Driver Standings'!C15</f>
        <v>Audi</v>
      </c>
      <c r="D21" s="10" t="n">
        <f aca="false">'Driver Standings'!E15</f>
        <v>2</v>
      </c>
      <c r="E21" s="10" t="n">
        <f aca="false">'Driver Standings'!F15</f>
        <v>2</v>
      </c>
      <c r="F21" s="10" t="n">
        <f aca="false">'Driver Standings'!G15</f>
        <v>0</v>
      </c>
      <c r="G21" s="10" t="n">
        <f aca="false">'Driver Standings'!H15</f>
        <v>0</v>
      </c>
      <c r="H21" s="10" t="n">
        <f aca="false">'Driver Standings'!K15</f>
        <v>0</v>
      </c>
      <c r="J21" s="13" t="s">
        <v>20</v>
      </c>
      <c r="K21" s="14" t="str">
        <f aca="false">IFERROR('Sprint Results'!B2,"-")</f>
        <v>Chinese Grand Prix</v>
      </c>
      <c r="L21" s="14"/>
      <c r="M21" s="14"/>
      <c r="N21" s="14"/>
      <c r="O21" s="14"/>
      <c r="P21" s="14"/>
    </row>
    <row r="22" customFormat="false" ht="15.75" hidden="false" customHeight="true" outlineLevel="0" collapsed="false">
      <c r="A22" s="8" t="n">
        <f aca="false">'Driver Standings'!A16</f>
        <v>15</v>
      </c>
      <c r="B22" s="9" t="str">
        <f aca="false">'Driver Standings'!B16</f>
        <v>Franco Colapinto</v>
      </c>
      <c r="C22" s="9" t="str">
        <f aca="false">'Driver Standings'!C16</f>
        <v>Alpine</v>
      </c>
      <c r="D22" s="8" t="n">
        <f aca="false">'Driver Standings'!E16</f>
        <v>1</v>
      </c>
      <c r="E22" s="8" t="n">
        <f aca="false">'Driver Standings'!F16</f>
        <v>1</v>
      </c>
      <c r="F22" s="8" t="n">
        <f aca="false">'Driver Standings'!G16</f>
        <v>0</v>
      </c>
      <c r="G22" s="8" t="n">
        <f aca="false">'Driver Standings'!H16</f>
        <v>0</v>
      </c>
      <c r="H22" s="8" t="n">
        <f aca="false">'Driver Standings'!K16</f>
        <v>0</v>
      </c>
      <c r="J22" s="13" t="s">
        <v>21</v>
      </c>
      <c r="K22" s="14" t="str">
        <f aca="false">IFERROR('Sprint Results'!E2,"-")</f>
        <v>George Russell</v>
      </c>
      <c r="L22" s="14"/>
      <c r="M22" s="14"/>
      <c r="N22" s="14"/>
      <c r="O22" s="14"/>
      <c r="P22" s="14"/>
    </row>
    <row r="23" customFormat="false" ht="15.75" hidden="false" customHeight="true" outlineLevel="0" collapsed="false">
      <c r="A23" s="10" t="n">
        <f aca="false">'Driver Standings'!A17</f>
        <v>17</v>
      </c>
      <c r="B23" s="11" t="str">
        <f aca="false">'Driver Standings'!B17</f>
        <v>Fernando Alonso</v>
      </c>
      <c r="C23" s="11" t="str">
        <f aca="false">'Driver Standings'!C17</f>
        <v>Aston Martin</v>
      </c>
      <c r="D23" s="10" t="n">
        <f aca="false">'Driver Standings'!E17</f>
        <v>0</v>
      </c>
      <c r="E23" s="10" t="n">
        <f aca="false">'Driver Standings'!F17</f>
        <v>0</v>
      </c>
      <c r="F23" s="10" t="n">
        <f aca="false">'Driver Standings'!G17</f>
        <v>0</v>
      </c>
      <c r="G23" s="10" t="n">
        <f aca="false">'Driver Standings'!H17</f>
        <v>0</v>
      </c>
      <c r="H23" s="10" t="n">
        <f aca="false">'Driver Standings'!K17</f>
        <v>0</v>
      </c>
      <c r="J23" s="15"/>
      <c r="K23" s="15"/>
      <c r="L23" s="15"/>
      <c r="M23" s="15"/>
      <c r="N23" s="15"/>
      <c r="O23" s="15"/>
      <c r="P23" s="15"/>
    </row>
    <row r="24" customFormat="false" ht="15.75" hidden="false" customHeight="true" outlineLevel="0" collapsed="false">
      <c r="A24" s="8" t="n">
        <f aca="false">'Driver Standings'!A18</f>
        <v>17</v>
      </c>
      <c r="B24" s="9" t="str">
        <f aca="false">'Driver Standings'!B18</f>
        <v>Lance Stroll</v>
      </c>
      <c r="C24" s="9" t="str">
        <f aca="false">'Driver Standings'!C18</f>
        <v>Aston Martin</v>
      </c>
      <c r="D24" s="8" t="n">
        <f aca="false">'Driver Standings'!E18</f>
        <v>0</v>
      </c>
      <c r="E24" s="8" t="n">
        <f aca="false">'Driver Standings'!F18</f>
        <v>0</v>
      </c>
      <c r="F24" s="8" t="n">
        <f aca="false">'Driver Standings'!G18</f>
        <v>0</v>
      </c>
      <c r="G24" s="8" t="n">
        <f aca="false">'Driver Standings'!H18</f>
        <v>0</v>
      </c>
      <c r="H24" s="8" t="n">
        <f aca="false">'Driver Standings'!K18</f>
        <v>0</v>
      </c>
    </row>
    <row r="25" customFormat="false" ht="15.75" hidden="false" customHeight="true" outlineLevel="0" collapsed="false">
      <c r="A25" s="10" t="n">
        <f aca="false">'Driver Standings'!A19</f>
        <v>17</v>
      </c>
      <c r="B25" s="11" t="str">
        <f aca="false">'Driver Standings'!B19</f>
        <v>Alexander Albon</v>
      </c>
      <c r="C25" s="11" t="str">
        <f aca="false">'Driver Standings'!C19</f>
        <v>Williams</v>
      </c>
      <c r="D25" s="10" t="n">
        <f aca="false">'Driver Standings'!E19</f>
        <v>0</v>
      </c>
      <c r="E25" s="10" t="n">
        <f aca="false">'Driver Standings'!F19</f>
        <v>0</v>
      </c>
      <c r="F25" s="10" t="n">
        <f aca="false">'Driver Standings'!G19</f>
        <v>0</v>
      </c>
      <c r="G25" s="10" t="n">
        <f aca="false">'Driver Standings'!H19</f>
        <v>0</v>
      </c>
      <c r="H25" s="10" t="n">
        <f aca="false">'Driver Standings'!K19</f>
        <v>0</v>
      </c>
    </row>
    <row r="26" customFormat="false" ht="15.75" hidden="false" customHeight="true" outlineLevel="0" collapsed="false">
      <c r="A26" s="8" t="n">
        <f aca="false">'Driver Standings'!A20</f>
        <v>15</v>
      </c>
      <c r="B26" s="9" t="str">
        <f aca="false">'Driver Standings'!B20</f>
        <v>Esteban Ocon</v>
      </c>
      <c r="C26" s="9" t="str">
        <f aca="false">'Driver Standings'!C20</f>
        <v>Haas</v>
      </c>
      <c r="D26" s="8" t="n">
        <f aca="false">'Driver Standings'!E20</f>
        <v>1</v>
      </c>
      <c r="E26" s="8" t="n">
        <f aca="false">'Driver Standings'!F20</f>
        <v>1</v>
      </c>
      <c r="F26" s="8" t="n">
        <f aca="false">'Driver Standings'!G20</f>
        <v>0</v>
      </c>
      <c r="G26" s="8" t="n">
        <f aca="false">'Driver Standings'!H20</f>
        <v>0</v>
      </c>
      <c r="H26" s="8" t="n">
        <f aca="false">'Driver Standings'!K20</f>
        <v>0</v>
      </c>
    </row>
    <row r="27" customFormat="false" ht="15.75" hidden="false" customHeight="true" outlineLevel="0" collapsed="false">
      <c r="A27" s="10" t="n">
        <f aca="false">'Driver Standings'!A21</f>
        <v>17</v>
      </c>
      <c r="B27" s="11" t="str">
        <f aca="false">'Driver Standings'!B21</f>
        <v>Nico Hulkenberg</v>
      </c>
      <c r="C27" s="11" t="str">
        <f aca="false">'Driver Standings'!C21</f>
        <v>Audi</v>
      </c>
      <c r="D27" s="10" t="n">
        <f aca="false">'Driver Standings'!E21</f>
        <v>0</v>
      </c>
      <c r="E27" s="10" t="n">
        <f aca="false">'Driver Standings'!F21</f>
        <v>0</v>
      </c>
      <c r="F27" s="10" t="n">
        <f aca="false">'Driver Standings'!G21</f>
        <v>0</v>
      </c>
      <c r="G27" s="10" t="n">
        <f aca="false">'Driver Standings'!H21</f>
        <v>0</v>
      </c>
      <c r="H27" s="10" t="n">
        <f aca="false">'Driver Standings'!K21</f>
        <v>0</v>
      </c>
    </row>
    <row r="28" customFormat="false" ht="15.75" hidden="false" customHeight="true" outlineLevel="0" collapsed="false">
      <c r="A28" s="8" t="n">
        <f aca="false">'Driver Standings'!A22</f>
        <v>17</v>
      </c>
      <c r="B28" s="9" t="str">
        <f aca="false">'Driver Standings'!B22</f>
        <v>Valtteri Bottas</v>
      </c>
      <c r="C28" s="9" t="str">
        <f aca="false">'Driver Standings'!C22</f>
        <v>Cadillac</v>
      </c>
      <c r="D28" s="8" t="n">
        <f aca="false">'Driver Standings'!E22</f>
        <v>0</v>
      </c>
      <c r="E28" s="8" t="n">
        <f aca="false">'Driver Standings'!F22</f>
        <v>0</v>
      </c>
      <c r="F28" s="8" t="n">
        <f aca="false">'Driver Standings'!G22</f>
        <v>0</v>
      </c>
      <c r="G28" s="8" t="n">
        <f aca="false">'Driver Standings'!H22</f>
        <v>0</v>
      </c>
      <c r="H28" s="8" t="n">
        <f aca="false">'Driver Standings'!K22</f>
        <v>0</v>
      </c>
    </row>
    <row r="29" customFormat="false" ht="15.75" hidden="false" customHeight="true" outlineLevel="0" collapsed="false">
      <c r="A29" s="10" t="n">
        <f aca="false">'Driver Standings'!A23</f>
        <v>17</v>
      </c>
      <c r="B29" s="11" t="str">
        <f aca="false">'Driver Standings'!B23</f>
        <v>Sergio Pérez</v>
      </c>
      <c r="C29" s="11" t="str">
        <f aca="false">'Driver Standings'!C23</f>
        <v>Cadillac</v>
      </c>
      <c r="D29" s="10" t="n">
        <f aca="false">'Driver Standings'!E23</f>
        <v>0</v>
      </c>
      <c r="E29" s="10" t="n">
        <f aca="false">'Driver Standings'!F23</f>
        <v>0</v>
      </c>
      <c r="F29" s="10" t="n">
        <f aca="false">'Driver Standings'!G23</f>
        <v>0</v>
      </c>
      <c r="G29" s="10" t="n">
        <f aca="false">'Driver Standings'!H23</f>
        <v>0</v>
      </c>
      <c r="H29" s="10" t="n">
        <f aca="false">'Driver Standings'!K23</f>
        <v>0</v>
      </c>
    </row>
    <row r="31" customFormat="false" ht="48" hidden="false" customHeight="true" outlineLevel="0" collapsed="false">
      <c r="J31" s="16" t="s">
        <v>22</v>
      </c>
    </row>
    <row r="32" customFormat="false" ht="15.75" hidden="false" customHeight="true" outlineLevel="0" collapsed="false">
      <c r="J32" s="13" t="s">
        <v>20</v>
      </c>
      <c r="K32" s="14" t="str">
        <f aca="false">'Race Results'!B2</f>
        <v>Australian Grand Prix</v>
      </c>
      <c r="L32" s="14"/>
      <c r="M32" s="14"/>
      <c r="N32" s="14"/>
      <c r="O32" s="14"/>
      <c r="P32" s="14"/>
    </row>
    <row r="33" customFormat="false" ht="15.75" hidden="false" customHeight="true" outlineLevel="0" collapsed="false">
      <c r="J33" s="13" t="s">
        <v>23</v>
      </c>
      <c r="K33" s="14" t="str">
        <f aca="false">'Race Results'!C2</f>
        <v>08-Mar-2026</v>
      </c>
      <c r="L33" s="14"/>
      <c r="M33" s="14"/>
      <c r="N33" s="14"/>
      <c r="O33" s="14"/>
      <c r="P33" s="14"/>
    </row>
    <row r="34" customFormat="false" ht="15.75" hidden="false" customHeight="true" outlineLevel="0" collapsed="false">
      <c r="J34" s="13" t="s">
        <v>24</v>
      </c>
      <c r="K34" s="14" t="str">
        <f aca="false">'Race Results'!E2</f>
        <v>George Russell</v>
      </c>
      <c r="L34" s="14"/>
      <c r="M34" s="14"/>
      <c r="N34" s="14"/>
      <c r="O34" s="14"/>
      <c r="P34" s="14"/>
    </row>
    <row r="35" customFormat="false" ht="15.75" hidden="false" customHeight="true" outlineLevel="0" collapsed="false">
      <c r="J35" s="13" t="s">
        <v>25</v>
      </c>
      <c r="K35" s="14" t="str">
        <f aca="false">'Race Results'!F2</f>
        <v>Mercedes</v>
      </c>
      <c r="L35" s="14"/>
      <c r="M35" s="14"/>
      <c r="N35" s="14"/>
      <c r="O35" s="14"/>
      <c r="P35" s="14"/>
    </row>
    <row r="36" customFormat="false" ht="15.75" hidden="false" customHeight="true" outlineLevel="0" collapsed="false">
      <c r="J36" s="13" t="s">
        <v>26</v>
      </c>
      <c r="K36" s="14" t="str">
        <f aca="false">'Race Results'!G2</f>
        <v>Andrea Kimi Antonelli</v>
      </c>
      <c r="L36" s="14"/>
      <c r="M36" s="14"/>
      <c r="N36" s="14"/>
      <c r="O36" s="14"/>
      <c r="P36" s="14"/>
    </row>
    <row r="37" customFormat="false" ht="15.75" hidden="false" customHeight="true" outlineLevel="0" collapsed="false">
      <c r="J37" s="13" t="s">
        <v>27</v>
      </c>
      <c r="K37" s="14" t="str">
        <f aca="false">'Race Results'!H2</f>
        <v>Charles Leclerc</v>
      </c>
      <c r="L37" s="14"/>
      <c r="M37" s="14"/>
      <c r="N37" s="14"/>
      <c r="O37" s="14"/>
      <c r="P37" s="14"/>
    </row>
    <row r="38" customFormat="false" ht="15.75" hidden="false" customHeight="true" outlineLevel="0" collapsed="false">
      <c r="J38" s="13" t="s">
        <v>28</v>
      </c>
      <c r="K38" s="14" t="str">
        <f aca="false">'Race Results'!P2</f>
        <v>George Russell</v>
      </c>
      <c r="L38" s="14"/>
      <c r="M38" s="14"/>
      <c r="N38" s="14"/>
      <c r="O38" s="14"/>
      <c r="P38" s="14"/>
    </row>
    <row r="39" customFormat="false" ht="15.75" hidden="false" customHeight="true" outlineLevel="0" collapsed="false">
      <c r="J39" s="13" t="s">
        <v>29</v>
      </c>
      <c r="K39" s="14" t="str">
        <f aca="false">'Race Results'!Q2</f>
        <v>George Russell</v>
      </c>
      <c r="L39" s="14"/>
      <c r="M39" s="14"/>
      <c r="N39" s="14"/>
      <c r="O39" s="14"/>
      <c r="P39" s="14"/>
    </row>
    <row r="40" customFormat="false" ht="15.75" hidden="false" customHeight="true" outlineLevel="0" collapsed="false">
      <c r="J40" s="13" t="s">
        <v>30</v>
      </c>
      <c r="K40" s="14" t="str">
        <f aca="false">'Race Results'!S2</f>
        <v>1:23:06.801</v>
      </c>
      <c r="L40" s="14"/>
      <c r="M40" s="14"/>
      <c r="N40" s="14"/>
      <c r="O40" s="14"/>
      <c r="P40" s="14"/>
    </row>
    <row r="43" customFormat="false" ht="14.25" hidden="false" customHeight="true" outlineLevel="0" collapsed="false">
      <c r="A43" s="17" t="str">
        <f aca="false">"SEASON PROGRESS: "&amp;COUNTIF(Calendar!$J$2:$J$25,"Completed")&amp;" of 24 rounds completed"</f>
        <v>SEASON PROGRESS: 3 of 24 rounds completed</v>
      </c>
      <c r="B43" s="17"/>
      <c r="C43" s="17"/>
      <c r="D43" s="17"/>
      <c r="E43" s="17"/>
      <c r="F43" s="17"/>
      <c r="G43" s="17"/>
      <c r="H43" s="17"/>
      <c r="J43" s="17" t="str">
        <f aca="false">"REMAINING: "&amp;(24-COUNTIF(Calendar!$J$2:$J$25,"Completed"))&amp;" races to go"</f>
        <v>REMAINING: 21 races to go</v>
      </c>
      <c r="K43" s="17"/>
      <c r="L43" s="17"/>
      <c r="M43" s="17"/>
      <c r="N43" s="17"/>
      <c r="O43" s="17"/>
      <c r="P43" s="17"/>
    </row>
  </sheetData>
  <sheetProtection sheet="true" password="c755"/>
  <mergeCells count="31">
    <mergeCell ref="A1:R2"/>
    <mergeCell ref="A3:C3"/>
    <mergeCell ref="D3:G3"/>
    <mergeCell ref="H3:K3"/>
    <mergeCell ref="L3:N3"/>
    <mergeCell ref="O3:Q3"/>
    <mergeCell ref="A4:C4"/>
    <mergeCell ref="D4:G4"/>
    <mergeCell ref="H4:K4"/>
    <mergeCell ref="L4:N4"/>
    <mergeCell ref="O4:Q4"/>
    <mergeCell ref="A5:C5"/>
    <mergeCell ref="D5:G5"/>
    <mergeCell ref="H5:K5"/>
    <mergeCell ref="L5:N5"/>
    <mergeCell ref="O5:Q5"/>
    <mergeCell ref="J20:P20"/>
    <mergeCell ref="K21:P21"/>
    <mergeCell ref="K22:P22"/>
    <mergeCell ref="J23:P23"/>
    <mergeCell ref="K32:P32"/>
    <mergeCell ref="K33:P33"/>
    <mergeCell ref="K34:P34"/>
    <mergeCell ref="K35:P35"/>
    <mergeCell ref="K36:P36"/>
    <mergeCell ref="K37:P37"/>
    <mergeCell ref="K38:P38"/>
    <mergeCell ref="K39:P39"/>
    <mergeCell ref="K40:P40"/>
    <mergeCell ref="A43:H43"/>
    <mergeCell ref="J43:P43"/>
  </mergeCells>
  <conditionalFormatting sqref="A8:H29">
    <cfRule type="expression" priority="2" aboveAverage="0" equalAverage="0" bottom="0" percent="0" rank="0" text="" dxfId="0">
      <formula>$A8=1</formula>
    </cfRule>
    <cfRule type="expression" priority="3" aboveAverage="0" equalAverage="0" bottom="0" percent="0" rank="0" text="" dxfId="1">
      <formula>$A8=2</formula>
    </cfRule>
    <cfRule type="expression" priority="4" aboveAverage="0" equalAverage="0" bottom="0" percent="0" rank="0" text="" dxfId="2">
      <formula>$A8=3</formula>
    </cfRule>
  </conditionalFormatting>
  <conditionalFormatting sqref="J8:P18">
    <cfRule type="expression" priority="5" aboveAverage="0" equalAverage="0" bottom="0" percent="0" rank="0" text="" dxfId="0">
      <formula>$J8=1</formula>
    </cfRule>
    <cfRule type="expression" priority="6" aboveAverage="0" equalAverage="0" bottom="0" percent="0" rank="0" text="" dxfId="1">
      <formula>$J8=2</formula>
    </cfRule>
    <cfRule type="expression" priority="7" aboveAverage="0" equalAverage="0" bottom="0" percent="0" rank="0" text="" dxfId="2">
      <formula>$J8=3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28"/>
    <col collapsed="false" customWidth="true" hidden="false" outlineLevel="0" max="5" min="5" style="1" width="22"/>
    <col collapsed="false" customWidth="true" hidden="false" outlineLevel="0" max="16" min="6" style="1" width="18"/>
    <col collapsed="false" customWidth="true" hidden="false" outlineLevel="0" max="17" min="17" style="1" width="20"/>
    <col collapsed="false" customWidth="true" hidden="false" outlineLevel="0" max="18" min="18" style="1" width="8"/>
    <col collapsed="false" customWidth="true" hidden="false" outlineLevel="0" max="19" min="19" style="1" width="14"/>
    <col collapsed="false" customWidth="true" hidden="false" outlineLevel="0" max="20" min="20" style="1" width="7"/>
    <col collapsed="false" customWidth="true" hidden="false" outlineLevel="0" max="21" min="21" style="1" width="5"/>
    <col collapsed="false" customWidth="true" hidden="false" outlineLevel="0" max="22" min="22" style="1" width="16"/>
  </cols>
  <sheetData>
    <row r="1" customFormat="false" ht="34.5" hidden="false" customHeight="true" outlineLevel="0" collapsed="false">
      <c r="A1" s="6" t="s">
        <v>31</v>
      </c>
      <c r="B1" s="6" t="s">
        <v>20</v>
      </c>
      <c r="C1" s="6" t="s">
        <v>23</v>
      </c>
      <c r="D1" s="6" t="s">
        <v>32</v>
      </c>
      <c r="E1" s="6" t="s">
        <v>33</v>
      </c>
      <c r="F1" s="6" t="s">
        <v>34</v>
      </c>
      <c r="G1" s="6" t="s">
        <v>26</v>
      </c>
      <c r="H1" s="6" t="s">
        <v>27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28</v>
      </c>
      <c r="Q1" s="6" t="s">
        <v>29</v>
      </c>
      <c r="R1" s="6" t="s">
        <v>42</v>
      </c>
      <c r="S1" s="6" t="s">
        <v>30</v>
      </c>
      <c r="T1" s="6" t="s">
        <v>43</v>
      </c>
      <c r="U1" s="6" t="s">
        <v>44</v>
      </c>
      <c r="V1" s="6" t="s">
        <v>45</v>
      </c>
    </row>
    <row r="2" customFormat="false" ht="26.25" hidden="false" customHeight="true" outlineLevel="0" collapsed="false">
      <c r="A2" s="18" t="n">
        <v>1</v>
      </c>
      <c r="B2" s="19" t="s">
        <v>46</v>
      </c>
      <c r="C2" s="18" t="s">
        <v>47</v>
      </c>
      <c r="D2" s="1" t="str">
        <f aca="false">IFERROR(INDEX(Calendar!$D$2:$D$25,MATCH(B2,Calendar!$C$2:$C$25,0)),"")</f>
        <v>Albert Park Circuit</v>
      </c>
      <c r="E2" s="18" t="s">
        <v>48</v>
      </c>
      <c r="F2" s="1" t="str">
        <f aca="false">IFERROR(INDEX('Driver Bios'!$C$2:$C$23,MATCH(E2,'Driver Bios'!$B$2:$B$23,0)),"")</f>
        <v>Mercedes</v>
      </c>
      <c r="G2" s="18" t="s">
        <v>49</v>
      </c>
      <c r="H2" s="18" t="s">
        <v>50</v>
      </c>
      <c r="I2" s="18" t="s">
        <v>51</v>
      </c>
      <c r="J2" s="18" t="s">
        <v>52</v>
      </c>
      <c r="K2" s="18" t="s">
        <v>53</v>
      </c>
      <c r="L2" s="18" t="s">
        <v>54</v>
      </c>
      <c r="M2" s="18" t="s">
        <v>55</v>
      </c>
      <c r="N2" s="18" t="s">
        <v>56</v>
      </c>
      <c r="O2" s="18" t="s">
        <v>57</v>
      </c>
      <c r="P2" s="18" t="s">
        <v>48</v>
      </c>
      <c r="Q2" s="18" t="s">
        <v>48</v>
      </c>
      <c r="R2" s="8"/>
      <c r="S2" s="18" t="s">
        <v>58</v>
      </c>
      <c r="T2" s="18" t="n">
        <v>58</v>
      </c>
      <c r="U2" s="18" t="n">
        <v>1</v>
      </c>
      <c r="V2" s="19"/>
    </row>
    <row r="3" customFormat="false" ht="26.25" hidden="false" customHeight="true" outlineLevel="0" collapsed="false">
      <c r="A3" s="20" t="n">
        <v>2</v>
      </c>
      <c r="B3" s="21" t="s">
        <v>59</v>
      </c>
      <c r="C3" s="20" t="s">
        <v>60</v>
      </c>
      <c r="D3" s="1" t="str">
        <f aca="false">IFERROR(INDEX(Calendar!$D$2:$D$25,MATCH(B3,Calendar!$C$2:$C$25,0)),"")</f>
        <v>Shanghai International Circuit</v>
      </c>
      <c r="E3" s="20" t="s">
        <v>49</v>
      </c>
      <c r="F3" s="1" t="str">
        <f aca="false">IFERROR(INDEX('Driver Bios'!$C$2:$C$23,MATCH(E3,'Driver Bios'!$B$2:$B$23,0)),"")</f>
        <v>Mercedes</v>
      </c>
      <c r="G3" s="20" t="s">
        <v>48</v>
      </c>
      <c r="H3" s="20" t="s">
        <v>51</v>
      </c>
      <c r="I3" s="20" t="s">
        <v>50</v>
      </c>
      <c r="J3" s="20" t="s">
        <v>54</v>
      </c>
      <c r="K3" s="20" t="s">
        <v>57</v>
      </c>
      <c r="L3" s="20" t="s">
        <v>61</v>
      </c>
      <c r="M3" s="20" t="s">
        <v>62</v>
      </c>
      <c r="N3" s="20" t="s">
        <v>63</v>
      </c>
      <c r="O3" s="20" t="s">
        <v>64</v>
      </c>
      <c r="P3" s="20" t="s">
        <v>49</v>
      </c>
      <c r="Q3" s="20" t="s">
        <v>49</v>
      </c>
      <c r="R3" s="10"/>
      <c r="S3" s="20" t="s">
        <v>65</v>
      </c>
      <c r="T3" s="20" t="n">
        <v>56</v>
      </c>
      <c r="U3" s="20" t="n">
        <v>1</v>
      </c>
      <c r="V3" s="21"/>
    </row>
    <row r="4" customFormat="false" ht="14.25" hidden="false" customHeight="true" outlineLevel="0" collapsed="false">
      <c r="A4" s="20" t="n">
        <v>3</v>
      </c>
      <c r="B4" s="21" t="s">
        <v>66</v>
      </c>
      <c r="C4" s="20" t="s">
        <v>67</v>
      </c>
      <c r="D4" s="22" t="str">
        <f aca="false">IFERROR(INDEX(Calendar!$D$2:$D$25,MATCH(B4,Calendar!$C$2:$C$25,0)),"")</f>
        <v>Suzuka International Circuit</v>
      </c>
      <c r="E4" s="20" t="s">
        <v>49</v>
      </c>
      <c r="F4" s="22" t="str">
        <f aca="false">IFERROR(INDEX('Driver Bios'!$C$2:$C$23,MATCH(E4,'Driver Bios'!$B$2:$B$23,0)),"")</f>
        <v>Mercedes</v>
      </c>
      <c r="G4" s="20" t="s">
        <v>68</v>
      </c>
      <c r="H4" s="20" t="s">
        <v>50</v>
      </c>
      <c r="I4" s="20" t="s">
        <v>48</v>
      </c>
      <c r="J4" s="20" t="s">
        <v>52</v>
      </c>
      <c r="K4" s="20" t="s">
        <v>51</v>
      </c>
      <c r="L4" s="20" t="s">
        <v>57</v>
      </c>
      <c r="M4" s="20" t="s">
        <v>53</v>
      </c>
      <c r="N4" s="20" t="s">
        <v>61</v>
      </c>
      <c r="O4" s="20" t="s">
        <v>69</v>
      </c>
      <c r="P4" s="20" t="s">
        <v>49</v>
      </c>
      <c r="Q4" s="20" t="s">
        <v>49</v>
      </c>
      <c r="R4" s="10"/>
      <c r="S4" s="20"/>
      <c r="T4" s="20" t="n">
        <v>53</v>
      </c>
      <c r="U4" s="20" t="n">
        <v>1</v>
      </c>
      <c r="V4" s="21" t="s">
        <v>70</v>
      </c>
    </row>
    <row r="5" customFormat="false" ht="14.25" hidden="false" customHeight="true" outlineLevel="0" collapsed="false">
      <c r="A5" s="23"/>
      <c r="B5" s="23"/>
      <c r="C5" s="23"/>
      <c r="D5" s="24" t="str">
        <f aca="false">IFERROR(INDEX(Calendar!$D$2:$D$25,MATCH(B5,Calendar!$C$2:$C$25,0)),"")</f>
        <v/>
      </c>
      <c r="E5" s="23"/>
      <c r="F5" s="24" t="str">
        <f aca="false">IFERROR(INDEX('Driver Bios'!$C$2:$C$23,MATCH(E5,'Driver Bios'!$B$2:$B$23,0)),"")</f>
        <v/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4" t="str">
        <f aca="false">IF(Q5="","",IF(ISNUMBER(MATCH(Q5,E5:O5,0)),"Yes","No"))</f>
        <v/>
      </c>
      <c r="S5" s="23"/>
      <c r="T5" s="23"/>
      <c r="U5" s="23"/>
      <c r="V5" s="23"/>
    </row>
    <row r="6" customFormat="false" ht="14.25" hidden="false" customHeight="true" outlineLevel="0" collapsed="false">
      <c r="A6" s="25"/>
      <c r="B6" s="25"/>
      <c r="C6" s="25"/>
      <c r="D6" s="22" t="str">
        <f aca="false">IFERROR(INDEX(Calendar!$D$2:$D$25,MATCH(B6,Calendar!$C$2:$C$25,0)),"")</f>
        <v/>
      </c>
      <c r="E6" s="25"/>
      <c r="F6" s="22" t="str">
        <f aca="false">IFERROR(INDEX('Driver Bios'!$C$2:$C$23,MATCH(E6,'Driver Bios'!$B$2:$B$23,0)),"")</f>
        <v/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2" t="str">
        <f aca="false">IF(Q6="","",IF(ISNUMBER(MATCH(Q6,E6:O6,0)),"Yes","No"))</f>
        <v/>
      </c>
      <c r="S6" s="25"/>
      <c r="T6" s="25"/>
      <c r="U6" s="25"/>
      <c r="V6" s="25"/>
    </row>
    <row r="7" customFormat="false" ht="14.25" hidden="false" customHeight="true" outlineLevel="0" collapsed="false">
      <c r="A7" s="23"/>
      <c r="B7" s="23"/>
      <c r="C7" s="23"/>
      <c r="D7" s="24" t="str">
        <f aca="false">IFERROR(INDEX(Calendar!$D$2:$D$25,MATCH(B7,Calendar!$C$2:$C$25,0)),"")</f>
        <v/>
      </c>
      <c r="E7" s="23"/>
      <c r="F7" s="24" t="str">
        <f aca="false">IFERROR(INDEX('Driver Bios'!$C$2:$C$23,MATCH(E7,'Driver Bios'!$B$2:$B$23,0)),"")</f>
        <v/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4" t="str">
        <f aca="false">IF(Q7="","",IF(ISNUMBER(MATCH(Q7,E7:O7,0)),"Yes","No"))</f>
        <v/>
      </c>
      <c r="S7" s="23"/>
      <c r="T7" s="23"/>
      <c r="U7" s="23"/>
      <c r="V7" s="23"/>
    </row>
    <row r="8" customFormat="false" ht="14.25" hidden="false" customHeight="true" outlineLevel="0" collapsed="false">
      <c r="A8" s="25"/>
      <c r="B8" s="25"/>
      <c r="C8" s="25"/>
      <c r="D8" s="22" t="str">
        <f aca="false">IFERROR(INDEX(Calendar!$D$2:$D$25,MATCH(B8,Calendar!$C$2:$C$25,0)),"")</f>
        <v/>
      </c>
      <c r="E8" s="25"/>
      <c r="F8" s="22" t="str">
        <f aca="false">IFERROR(INDEX('Driver Bios'!$C$2:$C$23,MATCH(E8,'Driver Bios'!$B$2:$B$23,0)),"")</f>
        <v/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2" t="str">
        <f aca="false">IF(Q8="","",IF(ISNUMBER(MATCH(Q8,E8:O8,0)),"Yes","No"))</f>
        <v/>
      </c>
      <c r="S8" s="25"/>
      <c r="T8" s="25"/>
      <c r="U8" s="25"/>
      <c r="V8" s="25"/>
    </row>
    <row r="9" customFormat="false" ht="14.25" hidden="false" customHeight="true" outlineLevel="0" collapsed="false">
      <c r="A9" s="23"/>
      <c r="B9" s="23"/>
      <c r="C9" s="23"/>
      <c r="D9" s="24" t="str">
        <f aca="false">IFERROR(INDEX(Calendar!$D$2:$D$25,MATCH(B9,Calendar!$C$2:$C$25,0)),"")</f>
        <v/>
      </c>
      <c r="E9" s="23"/>
      <c r="F9" s="24" t="str">
        <f aca="false">IFERROR(INDEX('Driver Bios'!$C$2:$C$23,MATCH(E9,'Driver Bios'!$B$2:$B$23,0)),"")</f>
        <v/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4" t="str">
        <f aca="false">IF(Q9="","",IF(ISNUMBER(MATCH(Q9,E9:O9,0)),"Yes","No"))</f>
        <v/>
      </c>
      <c r="S9" s="23"/>
      <c r="T9" s="23"/>
      <c r="U9" s="23"/>
      <c r="V9" s="23"/>
    </row>
    <row r="10" customFormat="false" ht="14.25" hidden="false" customHeight="true" outlineLevel="0" collapsed="false">
      <c r="A10" s="25"/>
      <c r="B10" s="25"/>
      <c r="C10" s="25"/>
      <c r="D10" s="22" t="str">
        <f aca="false">IFERROR(INDEX(Calendar!$D$2:$D$25,MATCH(B10,Calendar!$C$2:$C$25,0)),"")</f>
        <v/>
      </c>
      <c r="E10" s="25"/>
      <c r="F10" s="22" t="str">
        <f aca="false">IFERROR(INDEX('Driver Bios'!$C$2:$C$23,MATCH(E10,'Driver Bios'!$B$2:$B$23,0)),"")</f>
        <v/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2" t="str">
        <f aca="false">IF(Q10="","",IF(ISNUMBER(MATCH(Q10,E10:O10,0)),"Yes","No"))</f>
        <v/>
      </c>
      <c r="S10" s="25"/>
      <c r="T10" s="25"/>
      <c r="U10" s="25"/>
      <c r="V10" s="25"/>
    </row>
    <row r="11" customFormat="false" ht="14.25" hidden="false" customHeight="true" outlineLevel="0" collapsed="false">
      <c r="A11" s="23"/>
      <c r="B11" s="23"/>
      <c r="C11" s="23"/>
      <c r="D11" s="24" t="str">
        <f aca="false">IFERROR(INDEX(Calendar!$D$2:$D$25,MATCH(B11,Calendar!$C$2:$C$25,0)),"")</f>
        <v/>
      </c>
      <c r="E11" s="23"/>
      <c r="F11" s="24" t="str">
        <f aca="false">IFERROR(INDEX('Driver Bios'!$C$2:$C$23,MATCH(E11,'Driver Bios'!$B$2:$B$23,0)),"")</f>
        <v/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4" t="str">
        <f aca="false">IF(Q11="","",IF(ISNUMBER(MATCH(Q11,E11:O11,0)),"Yes","No"))</f>
        <v/>
      </c>
      <c r="S11" s="23"/>
      <c r="T11" s="23"/>
      <c r="U11" s="23"/>
      <c r="V11" s="23"/>
    </row>
    <row r="12" customFormat="false" ht="14.25" hidden="false" customHeight="true" outlineLevel="0" collapsed="false">
      <c r="A12" s="25"/>
      <c r="B12" s="25"/>
      <c r="C12" s="25"/>
      <c r="D12" s="22" t="str">
        <f aca="false">IFERROR(INDEX(Calendar!$D$2:$D$25,MATCH(B12,Calendar!$C$2:$C$25,0)),"")</f>
        <v/>
      </c>
      <c r="E12" s="25"/>
      <c r="F12" s="22" t="str">
        <f aca="false">IFERROR(INDEX('Driver Bios'!$C$2:$C$23,MATCH(E12,'Driver Bios'!$B$2:$B$23,0)),"")</f>
        <v/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2" t="str">
        <f aca="false">IF(Q12="","",IF(ISNUMBER(MATCH(Q12,E12:O12,0)),"Yes","No"))</f>
        <v/>
      </c>
      <c r="S12" s="25"/>
      <c r="T12" s="25"/>
      <c r="U12" s="25"/>
      <c r="V12" s="25"/>
    </row>
    <row r="13" customFormat="false" ht="14.25" hidden="false" customHeight="true" outlineLevel="0" collapsed="false">
      <c r="A13" s="23"/>
      <c r="B13" s="23"/>
      <c r="C13" s="23"/>
      <c r="D13" s="24" t="str">
        <f aca="false">IFERROR(INDEX(Calendar!$D$2:$D$25,MATCH(B13,Calendar!$C$2:$C$25,0)),"")</f>
        <v/>
      </c>
      <c r="E13" s="23"/>
      <c r="F13" s="24" t="str">
        <f aca="false">IFERROR(INDEX('Driver Bios'!$C$2:$C$23,MATCH(E13,'Driver Bios'!$B$2:$B$23,0)),"")</f>
        <v/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4" t="str">
        <f aca="false">IF(Q13="","",IF(ISNUMBER(MATCH(Q13,E13:O13,0)),"Yes","No"))</f>
        <v/>
      </c>
      <c r="S13" s="23"/>
      <c r="T13" s="23"/>
      <c r="U13" s="23"/>
      <c r="V13" s="23"/>
    </row>
    <row r="14" customFormat="false" ht="14.25" hidden="false" customHeight="true" outlineLevel="0" collapsed="false">
      <c r="A14" s="25"/>
      <c r="B14" s="25"/>
      <c r="C14" s="25"/>
      <c r="D14" s="22" t="str">
        <f aca="false">IFERROR(INDEX(Calendar!$D$2:$D$25,MATCH(B14,Calendar!$C$2:$C$25,0)),"")</f>
        <v/>
      </c>
      <c r="E14" s="25"/>
      <c r="F14" s="22" t="str">
        <f aca="false">IFERROR(INDEX('Driver Bios'!$C$2:$C$23,MATCH(E14,'Driver Bios'!$B$2:$B$23,0)),"")</f>
        <v/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2" t="str">
        <f aca="false">IF(Q14="","",IF(ISNUMBER(MATCH(Q14,E14:O14,0)),"Yes","No"))</f>
        <v/>
      </c>
      <c r="S14" s="25"/>
      <c r="T14" s="25"/>
      <c r="U14" s="25"/>
      <c r="V14" s="25"/>
    </row>
    <row r="15" customFormat="false" ht="14.25" hidden="false" customHeight="true" outlineLevel="0" collapsed="false">
      <c r="A15" s="23"/>
      <c r="B15" s="23"/>
      <c r="C15" s="23"/>
      <c r="D15" s="24" t="str">
        <f aca="false">IFERROR(INDEX(Calendar!$D$2:$D$25,MATCH(B15,Calendar!$C$2:$C$25,0)),"")</f>
        <v/>
      </c>
      <c r="E15" s="23"/>
      <c r="F15" s="24" t="str">
        <f aca="false">IFERROR(INDEX('Driver Bios'!$C$2:$C$23,MATCH(E15,'Driver Bios'!$B$2:$B$23,0)),"")</f>
        <v/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4" t="str">
        <f aca="false">IF(Q15="","",IF(ISNUMBER(MATCH(Q15,E15:O15,0)),"Yes","No"))</f>
        <v/>
      </c>
      <c r="S15" s="23"/>
      <c r="T15" s="23"/>
      <c r="U15" s="23"/>
      <c r="V15" s="23"/>
    </row>
    <row r="16" customFormat="false" ht="14.25" hidden="false" customHeight="true" outlineLevel="0" collapsed="false">
      <c r="A16" s="25"/>
      <c r="B16" s="25"/>
      <c r="C16" s="25"/>
      <c r="D16" s="22" t="str">
        <f aca="false">IFERROR(INDEX(Calendar!$D$2:$D$25,MATCH(B16,Calendar!$C$2:$C$25,0)),"")</f>
        <v/>
      </c>
      <c r="E16" s="25"/>
      <c r="F16" s="22" t="str">
        <f aca="false">IFERROR(INDEX('Driver Bios'!$C$2:$C$23,MATCH(E16,'Driver Bios'!$B$2:$B$23,0)),"")</f>
        <v/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2" t="str">
        <f aca="false">IF(Q16="","",IF(ISNUMBER(MATCH(Q16,E16:O16,0)),"Yes","No"))</f>
        <v/>
      </c>
      <c r="S16" s="25"/>
      <c r="T16" s="25"/>
      <c r="U16" s="25"/>
      <c r="V16" s="25"/>
    </row>
    <row r="17" customFormat="false" ht="14.25" hidden="false" customHeight="true" outlineLevel="0" collapsed="false">
      <c r="A17" s="23"/>
      <c r="B17" s="23"/>
      <c r="C17" s="23"/>
      <c r="D17" s="24" t="str">
        <f aca="false">IFERROR(INDEX(Calendar!$D$2:$D$25,MATCH(B17,Calendar!$C$2:$C$25,0)),"")</f>
        <v/>
      </c>
      <c r="E17" s="23"/>
      <c r="F17" s="24" t="str">
        <f aca="false">IFERROR(INDEX('Driver Bios'!$C$2:$C$23,MATCH(E17,'Driver Bios'!$B$2:$B$23,0)),"")</f>
        <v/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4" t="str">
        <f aca="false">IF(Q17="","",IF(ISNUMBER(MATCH(Q17,E17:O17,0)),"Yes","No"))</f>
        <v/>
      </c>
      <c r="S17" s="23"/>
      <c r="T17" s="23"/>
      <c r="U17" s="23"/>
      <c r="V17" s="23"/>
    </row>
    <row r="18" customFormat="false" ht="14.25" hidden="false" customHeight="true" outlineLevel="0" collapsed="false">
      <c r="A18" s="25"/>
      <c r="B18" s="25"/>
      <c r="C18" s="25"/>
      <c r="D18" s="22" t="str">
        <f aca="false">IFERROR(INDEX(Calendar!$D$2:$D$25,MATCH(B18,Calendar!$C$2:$C$25,0)),"")</f>
        <v/>
      </c>
      <c r="E18" s="25"/>
      <c r="F18" s="22" t="str">
        <f aca="false">IFERROR(INDEX('Driver Bios'!$C$2:$C$23,MATCH(E18,'Driver Bios'!$B$2:$B$23,0)),"")</f>
        <v/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2" t="str">
        <f aca="false">IF(Q18="","",IF(ISNUMBER(MATCH(Q18,E18:O18,0)),"Yes","No"))</f>
        <v/>
      </c>
      <c r="S18" s="25"/>
      <c r="T18" s="25"/>
      <c r="U18" s="25"/>
      <c r="V18" s="25"/>
    </row>
    <row r="19" customFormat="false" ht="14.25" hidden="false" customHeight="true" outlineLevel="0" collapsed="false">
      <c r="A19" s="23"/>
      <c r="B19" s="23"/>
      <c r="C19" s="23"/>
      <c r="D19" s="24" t="str">
        <f aca="false">IFERROR(INDEX(Calendar!$D$2:$D$25,MATCH(B19,Calendar!$C$2:$C$25,0)),"")</f>
        <v/>
      </c>
      <c r="E19" s="23"/>
      <c r="F19" s="24" t="str">
        <f aca="false">IFERROR(INDEX('Driver Bios'!$C$2:$C$23,MATCH(E19,'Driver Bios'!$B$2:$B$23,0)),"")</f>
        <v/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4" t="str">
        <f aca="false">IF(Q19="","",IF(ISNUMBER(MATCH(Q19,E19:O19,0)),"Yes","No"))</f>
        <v/>
      </c>
      <c r="S19" s="23"/>
      <c r="T19" s="23"/>
      <c r="U19" s="23"/>
      <c r="V19" s="23"/>
    </row>
    <row r="20" customFormat="false" ht="14.25" hidden="false" customHeight="true" outlineLevel="0" collapsed="false">
      <c r="A20" s="25"/>
      <c r="B20" s="25"/>
      <c r="C20" s="25"/>
      <c r="D20" s="22" t="str">
        <f aca="false">IFERROR(INDEX(Calendar!$D$2:$D$25,MATCH(B20,Calendar!$C$2:$C$25,0)),"")</f>
        <v/>
      </c>
      <c r="E20" s="25"/>
      <c r="F20" s="22" t="str">
        <f aca="false">IFERROR(INDEX('Driver Bios'!$C$2:$C$23,MATCH(E20,'Driver Bios'!$B$2:$B$23,0)),"")</f>
        <v/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2" t="str">
        <f aca="false">IF(Q20="","",IF(ISNUMBER(MATCH(Q20,E20:O20,0)),"Yes","No"))</f>
        <v/>
      </c>
      <c r="S20" s="25"/>
      <c r="T20" s="25"/>
      <c r="U20" s="25"/>
      <c r="V20" s="25"/>
    </row>
    <row r="21" customFormat="false" ht="14.25" hidden="false" customHeight="true" outlineLevel="0" collapsed="false">
      <c r="A21" s="23"/>
      <c r="B21" s="23"/>
      <c r="C21" s="23"/>
      <c r="D21" s="24" t="str">
        <f aca="false">IFERROR(INDEX(Calendar!$D$2:$D$25,MATCH(B21,Calendar!$C$2:$C$25,0)),"")</f>
        <v/>
      </c>
      <c r="E21" s="23"/>
      <c r="F21" s="24" t="str">
        <f aca="false">IFERROR(INDEX('Driver Bios'!$C$2:$C$23,MATCH(E21,'Driver Bios'!$B$2:$B$23,0)),"")</f>
        <v/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4" t="str">
        <f aca="false">IF(Q21="","",IF(ISNUMBER(MATCH(Q21,E21:O21,0)),"Yes","No"))</f>
        <v/>
      </c>
      <c r="S21" s="23"/>
      <c r="T21" s="23"/>
      <c r="U21" s="23"/>
      <c r="V21" s="23"/>
    </row>
    <row r="22" customFormat="false" ht="14.25" hidden="false" customHeight="true" outlineLevel="0" collapsed="false">
      <c r="A22" s="25"/>
      <c r="B22" s="25"/>
      <c r="C22" s="25"/>
      <c r="D22" s="22" t="str">
        <f aca="false">IFERROR(INDEX(Calendar!$D$2:$D$25,MATCH(B22,Calendar!$C$2:$C$25,0)),"")</f>
        <v/>
      </c>
      <c r="E22" s="25"/>
      <c r="F22" s="22" t="str">
        <f aca="false">IFERROR(INDEX('Driver Bios'!$C$2:$C$23,MATCH(E22,'Driver Bios'!$B$2:$B$23,0)),"")</f>
        <v/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2" t="str">
        <f aca="false">IF(Q22="","",IF(ISNUMBER(MATCH(Q22,E22:O22,0)),"Yes","No"))</f>
        <v/>
      </c>
      <c r="S22" s="25"/>
      <c r="T22" s="25"/>
      <c r="U22" s="25"/>
      <c r="V22" s="25"/>
    </row>
    <row r="23" customFormat="false" ht="14.25" hidden="false" customHeight="true" outlineLevel="0" collapsed="false">
      <c r="A23" s="23"/>
      <c r="B23" s="23"/>
      <c r="C23" s="23"/>
      <c r="D23" s="24" t="str">
        <f aca="false">IFERROR(INDEX(Calendar!$D$2:$D$25,MATCH(B23,Calendar!$C$2:$C$25,0)),"")</f>
        <v/>
      </c>
      <c r="E23" s="23"/>
      <c r="F23" s="24" t="str">
        <f aca="false">IFERROR(INDEX('Driver Bios'!$C$2:$C$23,MATCH(E23,'Driver Bios'!$B$2:$B$23,0)),"")</f>
        <v/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4" t="str">
        <f aca="false">IF(Q23="","",IF(ISNUMBER(MATCH(Q23,E23:O23,0)),"Yes","No"))</f>
        <v/>
      </c>
      <c r="S23" s="23"/>
      <c r="T23" s="23"/>
      <c r="U23" s="23"/>
      <c r="V23" s="23"/>
    </row>
    <row r="24" customFormat="false" ht="14.25" hidden="false" customHeight="true" outlineLevel="0" collapsed="false">
      <c r="A24" s="25"/>
      <c r="B24" s="25"/>
      <c r="C24" s="25"/>
      <c r="D24" s="22" t="str">
        <f aca="false">IFERROR(INDEX(Calendar!$D$2:$D$25,MATCH(B24,Calendar!$C$2:$C$25,0)),"")</f>
        <v/>
      </c>
      <c r="E24" s="25"/>
      <c r="F24" s="22" t="str">
        <f aca="false">IFERROR(INDEX('Driver Bios'!$C$2:$C$23,MATCH(E24,'Driver Bios'!$B$2:$B$23,0)),"")</f>
        <v/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2" t="str">
        <f aca="false">IF(Q24="","",IF(ISNUMBER(MATCH(Q24,E24:O24,0)),"Yes","No"))</f>
        <v/>
      </c>
      <c r="S24" s="25"/>
      <c r="T24" s="25"/>
      <c r="U24" s="25"/>
      <c r="V24" s="25"/>
    </row>
    <row r="25" customFormat="false" ht="14.25" hidden="false" customHeight="true" outlineLevel="0" collapsed="false">
      <c r="A25" s="23"/>
      <c r="B25" s="23"/>
      <c r="C25" s="23"/>
      <c r="D25" s="24" t="str">
        <f aca="false">IFERROR(INDEX(Calendar!$D$2:$D$25,MATCH(B25,Calendar!$C$2:$C$25,0)),"")</f>
        <v/>
      </c>
      <c r="E25" s="23"/>
      <c r="F25" s="24" t="str">
        <f aca="false">IFERROR(INDEX('Driver Bios'!$C$2:$C$23,MATCH(E25,'Driver Bios'!$B$2:$B$23,0)),"")</f>
        <v/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4" t="str">
        <f aca="false">IF(Q25="","",IF(ISNUMBER(MATCH(Q25,E25:O25,0)),"Yes","No"))</f>
        <v/>
      </c>
      <c r="S25" s="23"/>
      <c r="T25" s="23"/>
      <c r="U25" s="23"/>
      <c r="V25" s="23"/>
    </row>
  </sheetData>
  <sheetProtection sheet="true" password="c755"/>
  <conditionalFormatting sqref="A2:V25">
    <cfRule type="expression" priority="2" aboveAverage="0" equalAverage="0" bottom="0" percent="0" rank="0" text="" dxfId="3">
      <formula>$R2="Yes"</formula>
    </cfRule>
  </conditionalFormatting>
  <conditionalFormatting sqref="E2:E25">
    <cfRule type="expression" priority="3" aboveAverage="0" equalAverage="0" bottom="0" percent="0" rank="0" text="" dxfId="4">
      <formula>$E2&lt;&gt;""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13" min="5" style="1" width="22"/>
    <col collapsed="false" customWidth="true" hidden="false" outlineLevel="0" max="14" min="14" style="1" width="30"/>
  </cols>
  <sheetData>
    <row r="1" customFormat="false" ht="34.5" hidden="false" customHeight="true" outlineLevel="0" collapsed="false">
      <c r="A1" s="7" t="s">
        <v>31</v>
      </c>
      <c r="B1" s="7" t="s">
        <v>20</v>
      </c>
      <c r="C1" s="7" t="s">
        <v>71</v>
      </c>
      <c r="D1" s="7" t="s">
        <v>32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45</v>
      </c>
    </row>
    <row r="2" customFormat="false" ht="14.25" hidden="false" customHeight="true" outlineLevel="0" collapsed="false">
      <c r="A2" s="18" t="n">
        <v>2</v>
      </c>
      <c r="B2" s="19" t="s">
        <v>59</v>
      </c>
      <c r="C2" s="18" t="s">
        <v>81</v>
      </c>
      <c r="D2" s="1" t="str">
        <f aca="false">IFERROR(INDEX(Calendar!$D$2:$D$25,MATCH(B2,Calendar!$C$2:$C$25,0)),"")</f>
        <v>Shanghai International Circuit</v>
      </c>
      <c r="E2" s="18" t="s">
        <v>48</v>
      </c>
      <c r="F2" s="18" t="s">
        <v>50</v>
      </c>
      <c r="G2" s="18" t="s">
        <v>51</v>
      </c>
      <c r="H2" s="18" t="s">
        <v>52</v>
      </c>
      <c r="I2" s="18" t="s">
        <v>49</v>
      </c>
      <c r="J2" s="18" t="s">
        <v>68</v>
      </c>
      <c r="K2" s="18" t="s">
        <v>61</v>
      </c>
      <c r="L2" s="18" t="s">
        <v>54</v>
      </c>
      <c r="M2" s="18" t="s">
        <v>48</v>
      </c>
      <c r="N2" s="19" t="s">
        <v>82</v>
      </c>
    </row>
    <row r="3" customFormat="false" ht="14.25" hidden="false" customHeight="true" outlineLevel="0" collapsed="false">
      <c r="A3" s="25" t="n">
        <v>6</v>
      </c>
      <c r="B3" s="25" t="s">
        <v>83</v>
      </c>
      <c r="C3" s="25"/>
      <c r="D3" s="22" t="str">
        <f aca="false">IFERROR(INDEX(Calendar!$D$2:$D$25,MATCH(B3,Calendar!$C$2:$C$25,0)),"")</f>
        <v>Miami International Autodrome</v>
      </c>
      <c r="E3" s="25"/>
      <c r="F3" s="25"/>
      <c r="G3" s="25"/>
      <c r="H3" s="25"/>
      <c r="I3" s="25"/>
      <c r="J3" s="25"/>
      <c r="K3" s="25"/>
      <c r="L3" s="25"/>
      <c r="M3" s="25"/>
      <c r="N3" s="25"/>
    </row>
    <row r="4" customFormat="false" ht="14.25" hidden="false" customHeight="true" outlineLevel="0" collapsed="false">
      <c r="A4" s="23" t="n">
        <v>7</v>
      </c>
      <c r="B4" s="23" t="s">
        <v>84</v>
      </c>
      <c r="C4" s="23"/>
      <c r="D4" s="24" t="str">
        <f aca="false">IFERROR(INDEX(Calendar!$D$2:$D$25,MATCH(B4,Calendar!$C$2:$C$25,0)),"")</f>
        <v>Circuit Gilles Villeneuve</v>
      </c>
      <c r="E4" s="23"/>
      <c r="F4" s="23"/>
      <c r="G4" s="23"/>
      <c r="H4" s="23"/>
      <c r="I4" s="23"/>
      <c r="J4" s="23"/>
      <c r="K4" s="23"/>
      <c r="L4" s="23"/>
      <c r="M4" s="23"/>
      <c r="N4" s="23"/>
    </row>
    <row r="5" customFormat="false" ht="14.25" hidden="false" customHeight="true" outlineLevel="0" collapsed="false">
      <c r="A5" s="25" t="n">
        <v>12</v>
      </c>
      <c r="B5" s="25" t="s">
        <v>85</v>
      </c>
      <c r="C5" s="25"/>
      <c r="D5" s="22" t="str">
        <f aca="false">IFERROR(INDEX(Calendar!$D$2:$D$25,MATCH(B5,Calendar!$C$2:$C$25,0)),"")</f>
        <v>Silverstone Circuit</v>
      </c>
      <c r="E5" s="25"/>
      <c r="F5" s="25"/>
      <c r="G5" s="25"/>
      <c r="H5" s="25"/>
      <c r="I5" s="25"/>
      <c r="J5" s="25"/>
      <c r="K5" s="25"/>
      <c r="L5" s="25"/>
      <c r="M5" s="25"/>
      <c r="N5" s="25"/>
    </row>
    <row r="6" customFormat="false" ht="14.25" hidden="false" customHeight="true" outlineLevel="0" collapsed="false">
      <c r="A6" s="23" t="n">
        <v>15</v>
      </c>
      <c r="B6" s="23" t="s">
        <v>86</v>
      </c>
      <c r="C6" s="23"/>
      <c r="D6" s="24" t="str">
        <f aca="false">IFERROR(INDEX(Calendar!$D$2:$D$25,MATCH(B6,Calendar!$C$2:$C$25,0)),"")</f>
        <v>Circuit Zandvoort</v>
      </c>
      <c r="E6" s="23"/>
      <c r="F6" s="23"/>
      <c r="G6" s="23"/>
      <c r="H6" s="23"/>
      <c r="I6" s="23"/>
      <c r="J6" s="23"/>
      <c r="K6" s="23"/>
      <c r="L6" s="23"/>
      <c r="M6" s="23"/>
      <c r="N6" s="23"/>
    </row>
    <row r="7" customFormat="false" ht="14.25" hidden="false" customHeight="true" outlineLevel="0" collapsed="false">
      <c r="A7" s="25" t="n">
        <v>18</v>
      </c>
      <c r="B7" s="25" t="s">
        <v>87</v>
      </c>
      <c r="C7" s="25"/>
      <c r="D7" s="22" t="str">
        <f aca="false">IFERROR(INDEX(Calendar!$D$2:$D$25,MATCH(B7,Calendar!$C$2:$C$25,0)),"")</f>
        <v>Marina Bay Street Circuit</v>
      </c>
      <c r="E7" s="25"/>
      <c r="F7" s="25"/>
      <c r="G7" s="25"/>
      <c r="H7" s="25"/>
      <c r="I7" s="25"/>
      <c r="J7" s="25"/>
      <c r="K7" s="25"/>
      <c r="L7" s="25"/>
      <c r="M7" s="25"/>
      <c r="N7" s="25"/>
    </row>
    <row r="9" customFormat="false" ht="15" hidden="false" customHeight="true" outlineLevel="0" collapsed="false">
      <c r="A9" s="26" t="s">
        <v>88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</row>
  </sheetData>
  <sheetProtection sheet="true" password="c755"/>
  <mergeCells count="1">
    <mergeCell ref="A9:N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3"/>
    <col collapsed="false" customWidth="true" hidden="false" outlineLevel="0" max="4" min="4" style="1" width="28"/>
    <col collapsed="false" customWidth="true" hidden="false" outlineLevel="0" max="5" min="5" style="1" width="22"/>
    <col collapsed="false" customWidth="true" hidden="false" outlineLevel="0" max="6" min="6" style="1" width="14"/>
    <col collapsed="false" customWidth="true" hidden="false" outlineLevel="0" max="15" min="7" style="1" width="22"/>
    <col collapsed="false" customWidth="true" hidden="false" outlineLevel="0" max="16" min="16" style="1" width="20"/>
  </cols>
  <sheetData>
    <row r="1" customFormat="false" ht="34.5" hidden="false" customHeight="true" outlineLevel="0" collapsed="false">
      <c r="A1" s="6" t="s">
        <v>31</v>
      </c>
      <c r="B1" s="6" t="s">
        <v>20</v>
      </c>
      <c r="C1" s="6" t="s">
        <v>89</v>
      </c>
      <c r="D1" s="6" t="s">
        <v>32</v>
      </c>
      <c r="E1" s="6" t="s">
        <v>90</v>
      </c>
      <c r="F1" s="6" t="s">
        <v>91</v>
      </c>
      <c r="G1" s="6" t="s">
        <v>26</v>
      </c>
      <c r="H1" s="6" t="s">
        <v>27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45</v>
      </c>
    </row>
    <row r="2" customFormat="false" ht="14.25" hidden="false" customHeight="true" outlineLevel="0" collapsed="false">
      <c r="A2" s="18" t="n">
        <v>1</v>
      </c>
      <c r="B2" s="19" t="s">
        <v>46</v>
      </c>
      <c r="C2" s="18" t="s">
        <v>92</v>
      </c>
      <c r="D2" s="1" t="str">
        <f aca="false">IFERROR(INDEX(Calendar!$D$2:$D$25,MATCH(B2,Calendar!$C$2:$C$25,0)),"")</f>
        <v>Albert Park Circuit</v>
      </c>
      <c r="E2" s="18" t="s">
        <v>48</v>
      </c>
      <c r="F2" s="18" t="s">
        <v>93</v>
      </c>
      <c r="G2" s="18" t="s">
        <v>49</v>
      </c>
      <c r="H2" s="18" t="s">
        <v>62</v>
      </c>
      <c r="I2" s="18" t="s">
        <v>50</v>
      </c>
      <c r="J2" s="18" t="s">
        <v>68</v>
      </c>
      <c r="K2" s="18" t="s">
        <v>52</v>
      </c>
      <c r="L2" s="18" t="s">
        <v>51</v>
      </c>
      <c r="M2" s="18" t="s">
        <v>61</v>
      </c>
      <c r="N2" s="18" t="s">
        <v>55</v>
      </c>
      <c r="O2" s="18" t="s">
        <v>56</v>
      </c>
      <c r="P2" s="19"/>
    </row>
    <row r="3" customFormat="false" ht="14.25" hidden="false" customHeight="true" outlineLevel="0" collapsed="false">
      <c r="A3" s="20" t="n">
        <v>2</v>
      </c>
      <c r="B3" s="21" t="s">
        <v>59</v>
      </c>
      <c r="C3" s="20" t="s">
        <v>81</v>
      </c>
      <c r="D3" s="1" t="str">
        <f aca="false">IFERROR(INDEX(Calendar!$D$2:$D$25,MATCH(B3,Calendar!$C$2:$C$25,0)),"")</f>
        <v>Shanghai International Circuit</v>
      </c>
      <c r="E3" s="20" t="s">
        <v>49</v>
      </c>
      <c r="F3" s="20" t="s">
        <v>94</v>
      </c>
      <c r="G3" s="20" t="s">
        <v>48</v>
      </c>
      <c r="H3" s="20" t="s">
        <v>51</v>
      </c>
      <c r="I3" s="20" t="s">
        <v>52</v>
      </c>
      <c r="J3" s="20" t="s">
        <v>50</v>
      </c>
      <c r="K3" s="20" t="s">
        <v>68</v>
      </c>
      <c r="L3" s="20" t="s">
        <v>53</v>
      </c>
      <c r="M3" s="20" t="s">
        <v>61</v>
      </c>
      <c r="N3" s="20" t="s">
        <v>55</v>
      </c>
      <c r="O3" s="20" t="s">
        <v>54</v>
      </c>
      <c r="P3" s="21"/>
    </row>
    <row r="4" customFormat="false" ht="14.25" hidden="false" customHeight="true" outlineLevel="0" collapsed="false">
      <c r="A4" s="20" t="n">
        <v>3</v>
      </c>
      <c r="B4" s="21" t="s">
        <v>66</v>
      </c>
      <c r="C4" s="20" t="s">
        <v>95</v>
      </c>
      <c r="D4" s="22" t="str">
        <f aca="false">IFERROR(INDEX(Calendar!$D$2:$D$25,MATCH(B4,Calendar!$C$2:$C$25,0)),"")</f>
        <v>Suzuka International Circuit</v>
      </c>
      <c r="E4" s="20" t="s">
        <v>49</v>
      </c>
      <c r="F4" s="20" t="s">
        <v>96</v>
      </c>
      <c r="G4" s="20" t="s">
        <v>48</v>
      </c>
      <c r="H4" s="20" t="s">
        <v>68</v>
      </c>
      <c r="I4" s="20" t="s">
        <v>50</v>
      </c>
      <c r="J4" s="20" t="s">
        <v>52</v>
      </c>
      <c r="K4" s="20" t="s">
        <v>51</v>
      </c>
      <c r="L4" s="20" t="s">
        <v>57</v>
      </c>
      <c r="M4" s="20" t="s">
        <v>62</v>
      </c>
      <c r="N4" s="20" t="s">
        <v>56</v>
      </c>
      <c r="O4" s="20" t="s">
        <v>55</v>
      </c>
      <c r="P4" s="21" t="s">
        <v>97</v>
      </c>
    </row>
    <row r="5" customFormat="false" ht="14.25" hidden="false" customHeight="true" outlineLevel="0" collapsed="false">
      <c r="A5" s="23"/>
      <c r="B5" s="23"/>
      <c r="C5" s="23"/>
      <c r="D5" s="24" t="str">
        <f aca="false">IFERROR(INDEX(Calendar!$D$2:$D$25,MATCH(B5,Calendar!$C$2:$C$25,0)),"")</f>
        <v/>
      </c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</row>
    <row r="6" customFormat="false" ht="14.25" hidden="false" customHeight="true" outlineLevel="0" collapsed="false">
      <c r="A6" s="25"/>
      <c r="B6" s="25"/>
      <c r="C6" s="25"/>
      <c r="D6" s="22" t="str">
        <f aca="false">IFERROR(INDEX(Calendar!$D$2:$D$25,MATCH(B6,Calendar!$C$2:$C$25,0)),"")</f>
        <v/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</row>
    <row r="7" customFormat="false" ht="14.25" hidden="false" customHeight="true" outlineLevel="0" collapsed="false">
      <c r="A7" s="23"/>
      <c r="B7" s="23"/>
      <c r="C7" s="23"/>
      <c r="D7" s="24" t="str">
        <f aca="false">IFERROR(INDEX(Calendar!$D$2:$D$25,MATCH(B7,Calendar!$C$2:$C$25,0)),"")</f>
        <v/>
      </c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customFormat="false" ht="14.25" hidden="false" customHeight="true" outlineLevel="0" collapsed="false">
      <c r="A8" s="25"/>
      <c r="B8" s="25"/>
      <c r="C8" s="25"/>
      <c r="D8" s="22" t="str">
        <f aca="false">IFERROR(INDEX(Calendar!$D$2:$D$25,MATCH(B8,Calendar!$C$2:$C$25,0)),"")</f>
        <v/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customFormat="false" ht="14.25" hidden="false" customHeight="true" outlineLevel="0" collapsed="false">
      <c r="A9" s="23"/>
      <c r="B9" s="23"/>
      <c r="C9" s="23"/>
      <c r="D9" s="24" t="str">
        <f aca="false">IFERROR(INDEX(Calendar!$D$2:$D$25,MATCH(B9,Calendar!$C$2:$C$25,0)),"")</f>
        <v/>
      </c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</row>
    <row r="10" customFormat="false" ht="14.25" hidden="false" customHeight="true" outlineLevel="0" collapsed="false">
      <c r="A10" s="25"/>
      <c r="B10" s="25"/>
      <c r="C10" s="25"/>
      <c r="D10" s="22" t="str">
        <f aca="false">IFERROR(INDEX(Calendar!$D$2:$D$25,MATCH(B10,Calendar!$C$2:$C$25,0)),"")</f>
        <v/>
      </c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</row>
    <row r="11" customFormat="false" ht="14.25" hidden="false" customHeight="true" outlineLevel="0" collapsed="false">
      <c r="A11" s="23"/>
      <c r="B11" s="23"/>
      <c r="C11" s="23"/>
      <c r="D11" s="24" t="str">
        <f aca="false">IFERROR(INDEX(Calendar!$D$2:$D$25,MATCH(B11,Calendar!$C$2:$C$25,0)),"")</f>
        <v/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</row>
    <row r="12" customFormat="false" ht="14.25" hidden="false" customHeight="true" outlineLevel="0" collapsed="false">
      <c r="A12" s="25"/>
      <c r="B12" s="25"/>
      <c r="C12" s="25"/>
      <c r="D12" s="22" t="str">
        <f aca="false">IFERROR(INDEX(Calendar!$D$2:$D$25,MATCH(B12,Calendar!$C$2:$C$25,0)),"")</f>
        <v/>
      </c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</row>
    <row r="13" customFormat="false" ht="14.25" hidden="false" customHeight="true" outlineLevel="0" collapsed="false">
      <c r="A13" s="23"/>
      <c r="B13" s="23"/>
      <c r="C13" s="23"/>
      <c r="D13" s="24" t="str">
        <f aca="false">IFERROR(INDEX(Calendar!$D$2:$D$25,MATCH(B13,Calendar!$C$2:$C$25,0)),"")</f>
        <v/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</row>
    <row r="14" customFormat="false" ht="14.25" hidden="false" customHeight="true" outlineLevel="0" collapsed="false">
      <c r="A14" s="25"/>
      <c r="B14" s="25"/>
      <c r="C14" s="25"/>
      <c r="D14" s="22" t="str">
        <f aca="false">IFERROR(INDEX(Calendar!$D$2:$D$25,MATCH(B14,Calendar!$C$2:$C$25,0)),"")</f>
        <v/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</row>
    <row r="15" customFormat="false" ht="14.25" hidden="false" customHeight="true" outlineLevel="0" collapsed="false">
      <c r="A15" s="23"/>
      <c r="B15" s="23"/>
      <c r="C15" s="23"/>
      <c r="D15" s="24" t="str">
        <f aca="false">IFERROR(INDEX(Calendar!$D$2:$D$25,MATCH(B15,Calendar!$C$2:$C$25,0)),"")</f>
        <v/>
      </c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</row>
    <row r="16" customFormat="false" ht="14.25" hidden="false" customHeight="true" outlineLevel="0" collapsed="false">
      <c r="A16" s="25"/>
      <c r="B16" s="25"/>
      <c r="C16" s="25"/>
      <c r="D16" s="22" t="str">
        <f aca="false">IFERROR(INDEX(Calendar!$D$2:$D$25,MATCH(B16,Calendar!$C$2:$C$25,0)),"")</f>
        <v/>
      </c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customFormat="false" ht="14.25" hidden="false" customHeight="true" outlineLevel="0" collapsed="false">
      <c r="A17" s="23"/>
      <c r="B17" s="23"/>
      <c r="C17" s="23"/>
      <c r="D17" s="24" t="str">
        <f aca="false">IFERROR(INDEX(Calendar!$D$2:$D$25,MATCH(B17,Calendar!$C$2:$C$25,0)),"")</f>
        <v/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</row>
    <row r="18" customFormat="false" ht="14.25" hidden="false" customHeight="true" outlineLevel="0" collapsed="false">
      <c r="A18" s="25"/>
      <c r="B18" s="25"/>
      <c r="C18" s="25"/>
      <c r="D18" s="22" t="str">
        <f aca="false">IFERROR(INDEX(Calendar!$D$2:$D$25,MATCH(B18,Calendar!$C$2:$C$25,0)),"")</f>
        <v/>
      </c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</row>
    <row r="19" customFormat="false" ht="14.25" hidden="false" customHeight="true" outlineLevel="0" collapsed="false">
      <c r="A19" s="23"/>
      <c r="B19" s="23"/>
      <c r="C19" s="23"/>
      <c r="D19" s="24" t="str">
        <f aca="false">IFERROR(INDEX(Calendar!$D$2:$D$25,MATCH(B19,Calendar!$C$2:$C$25,0)),"")</f>
        <v/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</row>
    <row r="20" customFormat="false" ht="14.25" hidden="false" customHeight="true" outlineLevel="0" collapsed="false">
      <c r="A20" s="25"/>
      <c r="B20" s="25"/>
      <c r="C20" s="25"/>
      <c r="D20" s="22" t="str">
        <f aca="false">IFERROR(INDEX(Calendar!$D$2:$D$25,MATCH(B20,Calendar!$C$2:$C$25,0)),"")</f>
        <v/>
      </c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</row>
    <row r="21" customFormat="false" ht="14.25" hidden="false" customHeight="true" outlineLevel="0" collapsed="false">
      <c r="A21" s="23"/>
      <c r="B21" s="23"/>
      <c r="C21" s="23"/>
      <c r="D21" s="24" t="str">
        <f aca="false">IFERROR(INDEX(Calendar!$D$2:$D$25,MATCH(B21,Calendar!$C$2:$C$25,0)),"")</f>
        <v/>
      </c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</row>
    <row r="22" customFormat="false" ht="14.25" hidden="false" customHeight="true" outlineLevel="0" collapsed="false">
      <c r="A22" s="25"/>
      <c r="B22" s="25"/>
      <c r="C22" s="25"/>
      <c r="D22" s="22" t="str">
        <f aca="false">IFERROR(INDEX(Calendar!$D$2:$D$25,MATCH(B22,Calendar!$C$2:$C$25,0)),"")</f>
        <v/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</row>
    <row r="23" customFormat="false" ht="14.25" hidden="false" customHeight="true" outlineLevel="0" collapsed="false">
      <c r="A23" s="23"/>
      <c r="B23" s="23"/>
      <c r="C23" s="23"/>
      <c r="D23" s="24" t="str">
        <f aca="false">IFERROR(INDEX(Calendar!$D$2:$D$25,MATCH(B23,Calendar!$C$2:$C$25,0)),"")</f>
        <v/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</row>
    <row r="24" customFormat="false" ht="14.25" hidden="false" customHeight="true" outlineLevel="0" collapsed="false">
      <c r="A24" s="25"/>
      <c r="B24" s="25"/>
      <c r="C24" s="25"/>
      <c r="D24" s="22" t="str">
        <f aca="false">IFERROR(INDEX(Calendar!$D$2:$D$25,MATCH(B24,Calendar!$C$2:$C$25,0)),"")</f>
        <v/>
      </c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</row>
    <row r="25" customFormat="false" ht="14.25" hidden="false" customHeight="true" outlineLevel="0" collapsed="false">
      <c r="A25" s="23"/>
      <c r="B25" s="23"/>
      <c r="C25" s="23"/>
      <c r="D25" s="24" t="str">
        <f aca="false">IFERROR(INDEX(Calendar!$D$2:$D$25,MATCH(B25,Calendar!$C$2:$C$25,0)),"")</f>
        <v/>
      </c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</row>
    <row r="28" customFormat="false" ht="15" hidden="false" customHeight="true" outlineLevel="0" collapsed="false">
      <c r="A28" s="27" t="s">
        <v>98</v>
      </c>
      <c r="B28" s="27"/>
      <c r="C28" s="27"/>
      <c r="D28" s="27"/>
      <c r="E28" s="27"/>
      <c r="F28" s="27"/>
    </row>
    <row r="29" customFormat="false" ht="27" hidden="false" customHeight="true" outlineLevel="0" collapsed="false">
      <c r="A29" s="7" t="s">
        <v>99</v>
      </c>
      <c r="B29" s="7" t="s">
        <v>25</v>
      </c>
      <c r="C29" s="7" t="s">
        <v>100</v>
      </c>
      <c r="D29" s="7" t="s">
        <v>101</v>
      </c>
    </row>
    <row r="30" customFormat="false" ht="14.25" hidden="false" customHeight="true" outlineLevel="0" collapsed="false">
      <c r="A30" s="9" t="s">
        <v>48</v>
      </c>
      <c r="B30" s="9" t="s">
        <v>102</v>
      </c>
      <c r="C30" s="8" t="n">
        <f aca="false">COUNTIF('Qualifying Results'!$E$2:$E$25,A30)</f>
        <v>1</v>
      </c>
      <c r="D30" s="8" t="str">
        <f aca="false">IFERROR(_xludf.minifs('Qualifying Results'!$F$2:$F$25,'Qualifying Results'!$E$2:$E$25,A30),"")</f>
        <v/>
      </c>
    </row>
    <row r="31" customFormat="false" ht="14.25" hidden="false" customHeight="true" outlineLevel="0" collapsed="false">
      <c r="A31" s="11" t="s">
        <v>49</v>
      </c>
      <c r="B31" s="11" t="s">
        <v>102</v>
      </c>
      <c r="C31" s="10" t="n">
        <f aca="false">COUNTIF('Qualifying Results'!$E$2:$E$25,A31)</f>
        <v>2</v>
      </c>
      <c r="D31" s="10" t="str">
        <f aca="false">IFERROR(_xludf.minifs('Qualifying Results'!$F$2:$F$25,'Qualifying Results'!$E$2:$E$25,A31),"")</f>
        <v/>
      </c>
    </row>
    <row r="32" customFormat="false" ht="14.25" hidden="false" customHeight="true" outlineLevel="0" collapsed="false">
      <c r="A32" s="9" t="s">
        <v>50</v>
      </c>
      <c r="B32" s="9" t="s">
        <v>103</v>
      </c>
      <c r="C32" s="8" t="n">
        <f aca="false">COUNTIF('Qualifying Results'!$E$2:$E$25,A32)</f>
        <v>0</v>
      </c>
      <c r="D32" s="8" t="str">
        <f aca="false">IFERROR(_xludf.minifs('Qualifying Results'!$F$2:$F$25,'Qualifying Results'!$E$2:$E$25,A32),"")</f>
        <v/>
      </c>
    </row>
    <row r="33" customFormat="false" ht="14.25" hidden="false" customHeight="true" outlineLevel="0" collapsed="false">
      <c r="A33" s="11" t="s">
        <v>51</v>
      </c>
      <c r="B33" s="11" t="s">
        <v>103</v>
      </c>
      <c r="C33" s="10" t="n">
        <f aca="false">COUNTIF('Qualifying Results'!$E$2:$E$25,A33)</f>
        <v>0</v>
      </c>
      <c r="D33" s="10" t="str">
        <f aca="false">IFERROR(_xludf.minifs('Qualifying Results'!$F$2:$F$25,'Qualifying Results'!$E$2:$E$25,A33),"")</f>
        <v/>
      </c>
    </row>
    <row r="34" customFormat="false" ht="14.25" hidden="false" customHeight="true" outlineLevel="0" collapsed="false">
      <c r="A34" s="9" t="s">
        <v>54</v>
      </c>
      <c r="B34" s="9" t="s">
        <v>104</v>
      </c>
      <c r="C34" s="8" t="n">
        <f aca="false">COUNTIF('Qualifying Results'!$E$2:$E$25,A34)</f>
        <v>0</v>
      </c>
      <c r="D34" s="8" t="str">
        <f aca="false">IFERROR(_xludf.minifs('Qualifying Results'!$F$2:$F$25,'Qualifying Results'!$E$2:$E$25,A34),"")</f>
        <v/>
      </c>
    </row>
    <row r="35" customFormat="false" ht="14.25" hidden="false" customHeight="true" outlineLevel="0" collapsed="false">
      <c r="A35" s="11" t="s">
        <v>52</v>
      </c>
      <c r="B35" s="11" t="s">
        <v>105</v>
      </c>
      <c r="C35" s="10" t="n">
        <f aca="false">COUNTIF('Qualifying Results'!$E$2:$E$25,A35)</f>
        <v>0</v>
      </c>
      <c r="D35" s="10" t="str">
        <f aca="false">IFERROR(_xludf.minifs('Qualifying Results'!$F$2:$F$25,'Qualifying Results'!$E$2:$E$25,A35),"")</f>
        <v/>
      </c>
    </row>
    <row r="36" customFormat="false" ht="14.25" hidden="false" customHeight="true" outlineLevel="0" collapsed="false">
      <c r="A36" s="9" t="s">
        <v>57</v>
      </c>
      <c r="B36" s="9" t="s">
        <v>106</v>
      </c>
      <c r="C36" s="8" t="n">
        <f aca="false">COUNTIF('Qualifying Results'!$E$2:$E$25,A36)</f>
        <v>0</v>
      </c>
      <c r="D36" s="8" t="str">
        <f aca="false">IFERROR(_xludf.minifs('Qualifying Results'!$F$2:$F$25,'Qualifying Results'!$E$2:$E$25,A36),"")</f>
        <v/>
      </c>
    </row>
    <row r="37" customFormat="false" ht="14.25" hidden="false" customHeight="true" outlineLevel="0" collapsed="false">
      <c r="A37" s="11" t="s">
        <v>53</v>
      </c>
      <c r="B37" s="11" t="s">
        <v>107</v>
      </c>
      <c r="C37" s="10" t="n">
        <f aca="false">COUNTIF('Qualifying Results'!$E$2:$E$25,A37)</f>
        <v>0</v>
      </c>
      <c r="D37" s="10" t="str">
        <f aca="false">IFERROR(_xludf.minifs('Qualifying Results'!$F$2:$F$25,'Qualifying Results'!$E$2:$E$25,A37),"")</f>
        <v/>
      </c>
    </row>
    <row r="38" customFormat="false" ht="14.25" hidden="false" customHeight="true" outlineLevel="0" collapsed="false">
      <c r="A38" s="9" t="s">
        <v>61</v>
      </c>
      <c r="B38" s="9" t="s">
        <v>108</v>
      </c>
      <c r="C38" s="8" t="n">
        <f aca="false">COUNTIF('Qualifying Results'!$E$2:$E$25,A38)</f>
        <v>0</v>
      </c>
      <c r="D38" s="8" t="str">
        <f aca="false">IFERROR(_xludf.minifs('Qualifying Results'!$F$2:$F$25,'Qualifying Results'!$E$2:$E$25,A38),"")</f>
        <v/>
      </c>
    </row>
    <row r="39" customFormat="false" ht="14.25" hidden="false" customHeight="true" outlineLevel="0" collapsed="false">
      <c r="A39" s="11" t="s">
        <v>62</v>
      </c>
      <c r="B39" s="11" t="s">
        <v>107</v>
      </c>
      <c r="C39" s="10" t="n">
        <f aca="false">COUNTIF('Qualifying Results'!$E$2:$E$25,A39)</f>
        <v>0</v>
      </c>
      <c r="D39" s="10" t="str">
        <f aca="false">IFERROR(_xludf.minifs('Qualifying Results'!$F$2:$F$25,'Qualifying Results'!$E$2:$E$25,A39),"")</f>
        <v/>
      </c>
    </row>
    <row r="40" customFormat="false" ht="14.25" hidden="false" customHeight="true" outlineLevel="0" collapsed="false">
      <c r="A40" s="9" t="s">
        <v>55</v>
      </c>
      <c r="B40" s="9" t="s">
        <v>108</v>
      </c>
      <c r="C40" s="8" t="n">
        <f aca="false">COUNTIF('Qualifying Results'!$E$2:$E$25,A40)</f>
        <v>0</v>
      </c>
      <c r="D40" s="8" t="str">
        <f aca="false">IFERROR(_xludf.minifs('Qualifying Results'!$F$2:$F$25,'Qualifying Results'!$E$2:$E$25,A40),"")</f>
        <v/>
      </c>
    </row>
    <row r="41" customFormat="false" ht="14.25" hidden="false" customHeight="true" outlineLevel="0" collapsed="false">
      <c r="A41" s="11" t="s">
        <v>68</v>
      </c>
      <c r="B41" s="11" t="s">
        <v>105</v>
      </c>
      <c r="C41" s="10" t="n">
        <f aca="false">COUNTIF('Qualifying Results'!$E$2:$E$25,A41)</f>
        <v>0</v>
      </c>
      <c r="D41" s="10" t="str">
        <f aca="false">IFERROR(_xludf.minifs('Qualifying Results'!$F$2:$F$25,'Qualifying Results'!$E$2:$E$25,A41),"")</f>
        <v/>
      </c>
    </row>
    <row r="42" customFormat="false" ht="14.25" hidden="false" customHeight="true" outlineLevel="0" collapsed="false">
      <c r="A42" s="9" t="s">
        <v>63</v>
      </c>
      <c r="B42" s="9" t="s">
        <v>109</v>
      </c>
      <c r="C42" s="8" t="n">
        <f aca="false">COUNTIF('Qualifying Results'!$E$2:$E$25,A42)</f>
        <v>0</v>
      </c>
      <c r="D42" s="8" t="str">
        <f aca="false">IFERROR(_xludf.minifs('Qualifying Results'!$F$2:$F$25,'Qualifying Results'!$E$2:$E$25,A42),"")</f>
        <v/>
      </c>
    </row>
    <row r="43" customFormat="false" ht="14.25" hidden="false" customHeight="true" outlineLevel="0" collapsed="false">
      <c r="A43" s="11" t="s">
        <v>56</v>
      </c>
      <c r="B43" s="11" t="s">
        <v>110</v>
      </c>
      <c r="C43" s="10" t="n">
        <f aca="false">COUNTIF('Qualifying Results'!$E$2:$E$25,A43)</f>
        <v>0</v>
      </c>
      <c r="D43" s="10" t="str">
        <f aca="false">IFERROR(_xludf.minifs('Qualifying Results'!$F$2:$F$25,'Qualifying Results'!$E$2:$E$25,A43),"")</f>
        <v/>
      </c>
    </row>
    <row r="44" customFormat="false" ht="14.25" hidden="false" customHeight="true" outlineLevel="0" collapsed="false">
      <c r="A44" s="9" t="s">
        <v>64</v>
      </c>
      <c r="B44" s="9" t="s">
        <v>106</v>
      </c>
      <c r="C44" s="8" t="n">
        <f aca="false">COUNTIF('Qualifying Results'!$E$2:$E$25,A44)</f>
        <v>0</v>
      </c>
      <c r="D44" s="8" t="str">
        <f aca="false">IFERROR(_xludf.minifs('Qualifying Results'!$F$2:$F$25,'Qualifying Results'!$E$2:$E$25,A44),"")</f>
        <v/>
      </c>
    </row>
    <row r="45" customFormat="false" ht="14.25" hidden="false" customHeight="true" outlineLevel="0" collapsed="false">
      <c r="A45" s="11" t="s">
        <v>111</v>
      </c>
      <c r="B45" s="11" t="s">
        <v>112</v>
      </c>
      <c r="C45" s="10" t="n">
        <f aca="false">COUNTIF('Qualifying Results'!$E$2:$E$25,A45)</f>
        <v>0</v>
      </c>
      <c r="D45" s="10" t="str">
        <f aca="false">IFERROR(_xludf.minifs('Qualifying Results'!$F$2:$F$25,'Qualifying Results'!$E$2:$E$25,A45),"")</f>
        <v/>
      </c>
    </row>
    <row r="46" customFormat="false" ht="14.25" hidden="false" customHeight="true" outlineLevel="0" collapsed="false">
      <c r="A46" s="9" t="s">
        <v>113</v>
      </c>
      <c r="B46" s="9" t="s">
        <v>112</v>
      </c>
      <c r="C46" s="8" t="n">
        <f aca="false">COUNTIF('Qualifying Results'!$E$2:$E$25,A46)</f>
        <v>0</v>
      </c>
      <c r="D46" s="8" t="str">
        <f aca="false">IFERROR(_xludf.minifs('Qualifying Results'!$F$2:$F$25,'Qualifying Results'!$E$2:$E$25,A46),"")</f>
        <v/>
      </c>
    </row>
    <row r="47" customFormat="false" ht="14.25" hidden="false" customHeight="true" outlineLevel="0" collapsed="false">
      <c r="A47" s="11" t="s">
        <v>114</v>
      </c>
      <c r="B47" s="11" t="s">
        <v>109</v>
      </c>
      <c r="C47" s="10" t="n">
        <f aca="false">COUNTIF('Qualifying Results'!$E$2:$E$25,A47)</f>
        <v>0</v>
      </c>
      <c r="D47" s="10" t="str">
        <f aca="false">IFERROR(_xludf.minifs('Qualifying Results'!$F$2:$F$25,'Qualifying Results'!$E$2:$E$25,A47),"")</f>
        <v/>
      </c>
    </row>
    <row r="48" customFormat="false" ht="14.25" hidden="false" customHeight="true" outlineLevel="0" collapsed="false">
      <c r="A48" s="9" t="s">
        <v>69</v>
      </c>
      <c r="B48" s="9" t="s">
        <v>104</v>
      </c>
      <c r="C48" s="8" t="n">
        <f aca="false">COUNTIF('Qualifying Results'!$E$2:$E$25,A48)</f>
        <v>0</v>
      </c>
      <c r="D48" s="8" t="str">
        <f aca="false">IFERROR(_xludf.minifs('Qualifying Results'!$F$2:$F$25,'Qualifying Results'!$E$2:$E$25,A48),"")</f>
        <v/>
      </c>
    </row>
    <row r="49" customFormat="false" ht="14.25" hidden="false" customHeight="true" outlineLevel="0" collapsed="false">
      <c r="A49" s="11" t="s">
        <v>115</v>
      </c>
      <c r="B49" s="11" t="s">
        <v>110</v>
      </c>
      <c r="C49" s="10" t="n">
        <f aca="false">COUNTIF('Qualifying Results'!$E$2:$E$25,A49)</f>
        <v>0</v>
      </c>
      <c r="D49" s="10" t="str">
        <f aca="false">IFERROR(_xludf.minifs('Qualifying Results'!$F$2:$F$25,'Qualifying Results'!$E$2:$E$25,A49),"")</f>
        <v/>
      </c>
    </row>
    <row r="50" customFormat="false" ht="14.25" hidden="false" customHeight="true" outlineLevel="0" collapsed="false">
      <c r="A50" s="9" t="s">
        <v>116</v>
      </c>
      <c r="B50" s="9" t="s">
        <v>117</v>
      </c>
      <c r="C50" s="8" t="n">
        <f aca="false">COUNTIF('Qualifying Results'!$E$2:$E$25,A50)</f>
        <v>0</v>
      </c>
      <c r="D50" s="8" t="str">
        <f aca="false">IFERROR(_xludf.minifs('Qualifying Results'!$F$2:$F$25,'Qualifying Results'!$E$2:$E$25,A50),"")</f>
        <v/>
      </c>
    </row>
    <row r="51" customFormat="false" ht="14.25" hidden="false" customHeight="true" outlineLevel="0" collapsed="false">
      <c r="A51" s="11" t="s">
        <v>118</v>
      </c>
      <c r="B51" s="11" t="s">
        <v>117</v>
      </c>
      <c r="C51" s="10" t="n">
        <f aca="false">COUNTIF('Qualifying Results'!$E$2:$E$25,A51)</f>
        <v>0</v>
      </c>
      <c r="D51" s="10" t="str">
        <f aca="false">IFERROR(_xludf.minifs('Qualifying Results'!$F$2:$F$25,'Qualifying Results'!$E$2:$E$25,A51),"")</f>
        <v/>
      </c>
    </row>
  </sheetData>
  <sheetProtection sheet="true" password="c755"/>
  <mergeCells count="1"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10" min="8" style="1" width="7"/>
    <col collapsed="false" customWidth="true" hidden="false" outlineLevel="0" max="11" min="11" style="1" width="9"/>
    <col collapsed="false" customWidth="true" hidden="false" outlineLevel="0" max="12" min="12" style="1" width="7"/>
    <col collapsed="false" customWidth="true" hidden="false" outlineLevel="0" max="13" min="13" style="1" width="13"/>
    <col collapsed="false" customWidth="true" hidden="false" outlineLevel="0" max="15" min="14" style="1" width="12"/>
  </cols>
  <sheetData>
    <row r="1" customFormat="false" ht="34.5" hidden="false" customHeight="true" outlineLevel="0" collapsed="false">
      <c r="A1" s="6" t="s">
        <v>119</v>
      </c>
      <c r="B1" s="6" t="s">
        <v>99</v>
      </c>
      <c r="C1" s="6" t="s">
        <v>25</v>
      </c>
      <c r="D1" s="6" t="s">
        <v>120</v>
      </c>
      <c r="E1" s="6" t="s">
        <v>121</v>
      </c>
      <c r="F1" s="6" t="s">
        <v>122</v>
      </c>
      <c r="G1" s="6" t="s">
        <v>123</v>
      </c>
      <c r="H1" s="6" t="s">
        <v>124</v>
      </c>
      <c r="I1" s="6" t="s">
        <v>26</v>
      </c>
      <c r="J1" s="6" t="s">
        <v>27</v>
      </c>
      <c r="K1" s="6" t="s">
        <v>125</v>
      </c>
      <c r="L1" s="6" t="s">
        <v>100</v>
      </c>
      <c r="M1" s="6" t="s">
        <v>126</v>
      </c>
      <c r="N1" s="6" t="s">
        <v>127</v>
      </c>
      <c r="O1" s="6" t="s">
        <v>128</v>
      </c>
    </row>
    <row r="2" customFormat="false" ht="14.25" hidden="false" customHeight="true" outlineLevel="0" collapsed="false">
      <c r="A2" s="8" t="n">
        <f aca="false">RANK(E2,E$2:E$23,0)</f>
        <v>2</v>
      </c>
      <c r="B2" s="9" t="s">
        <v>48</v>
      </c>
      <c r="C2" s="9" t="str">
        <f aca="false">IFERROR(INDEX('Driver Bios'!$C$2:$C$23,MATCH(B2,'Driver Bios'!$B$2:$B$23,0)),"Mercedes")</f>
        <v>Mercedes</v>
      </c>
      <c r="D2" s="9" t="s">
        <v>129</v>
      </c>
      <c r="E2" s="8" t="n">
        <f aca="false">IFERROR(COUNTIF('Race Results'!$E$2:$E$25,B2)*25+COUNTIF('Race Results'!$G$2:$G$25,B2)*18+COUNTIF('Race Results'!$H$2:$H$25,B2)*15+COUNTIF('Race Results'!$I$2:$I$25,B2)*12+COUNTIF('Race Results'!$J$2:$J$25,B2)*10+COUNTIF('Race Results'!$K$2:$K$25,B2)*8+COUNTIF('Race Results'!$L$2:$L$25,B2)*6+COUNTIF('Race Results'!$M$2:$M$25,B2)*4+COUNTIF('Race Results'!$N$2:$N$25,B2)*2+COUNTIF('Race Results'!$O$2:$O$25,B2)*1+SUMPRODUCT(('Race Results'!$Q$2:$Q$25=B2)*('Race Results'!$R$2:$R$25="Yes")*1),0)+IFERROR(COUNTIF('Sprint Results'!$E$2:$E$7,B2)*8+COUNTIF('Sprint Results'!$F$2:$F$7,B2)*7+COUNTIF('Sprint Results'!$G$2:$G$7,B2)*6+COUNTIF('Sprint Results'!$H$2:$H$7,B2)*5+COUNTIF('Sprint Results'!$I$2:$I$7,B2)*4+COUNTIF('Sprint Results'!$J$2:$J$7,B2)*3+COUNTIF('Sprint Results'!$K$2:$K$7,B2)*2+COUNTIF('Sprint Results'!$L$2:$L$7,B2)*1,0)</f>
        <v>63</v>
      </c>
      <c r="F2" s="8" t="n">
        <f aca="false">IFERROR(IFERROR(COUNTIF('Race Results'!$E$2:$E$25,B2)*25+COUNTIF('Race Results'!$G$2:$G$25,B2)*18+COUNTIF('Race Results'!$H$2:$H$25,B2)*15+COUNTIF('Race Results'!$I$2:$I$25,B2)*12+COUNTIF('Race Results'!$J$2:$J$25,B2)*10+COUNTIF('Race Results'!$K$2:$K$25,B2)*8+COUNTIF('Race Results'!$L$2:$L$25,B2)*6+COUNTIF('Race Results'!$M$2:$M$25,B2)*4+COUNTIF('Race Results'!$N$2:$N$25,B2)*2+COUNTIF('Race Results'!$O$2:$O$25,B2)*1+SUMPRODUCT(('Race Results'!$Q$2:$Q$25=B2)*('Race Results'!$R$2:$R$25="Yes")*1),0),0)</f>
        <v>55</v>
      </c>
      <c r="G2" s="8" t="n">
        <f aca="false">IFERROR(IFERROR(COUNTIF('Sprint Results'!$E$2:$E$7,B2)*8+COUNTIF('Sprint Results'!$F$2:$F$7,B2)*7+COUNTIF('Sprint Results'!$G$2:$G$7,B2)*6+COUNTIF('Sprint Results'!$H$2:$H$7,B2)*5+COUNTIF('Sprint Results'!$I$2:$I$7,B2)*4+COUNTIF('Sprint Results'!$J$2:$J$7,B2)*3+COUNTIF('Sprint Results'!$K$2:$K$7,B2)*2+COUNTIF('Sprint Results'!$L$2:$L$7,B2)*1,0),0)</f>
        <v>8</v>
      </c>
      <c r="H2" s="8" t="n">
        <f aca="false">COUNTIF('Race Results'!$E$2:$E$25,B2)</f>
        <v>1</v>
      </c>
      <c r="I2" s="8" t="n">
        <f aca="false">COUNTIF('Race Results'!$G$2:$G$25,B2)</f>
        <v>1</v>
      </c>
      <c r="J2" s="8" t="n">
        <f aca="false">COUNTIF('Race Results'!$H$2:$H$25,B2)</f>
        <v>0</v>
      </c>
      <c r="K2" s="8" t="n">
        <f aca="false">H2+I2+J2</f>
        <v>2</v>
      </c>
      <c r="L2" s="8" t="n">
        <f aca="false">COUNTIF('Race Results'!$P$2:$P$25,B2)</f>
        <v>1</v>
      </c>
      <c r="M2" s="8" t="n">
        <f aca="false">COUNTIF('Race Results'!$Q$2:$Q$25,B2)</f>
        <v>1</v>
      </c>
      <c r="N2" s="8" t="n">
        <f aca="false">COUNTIF('Sprint Results'!$E$2:$E$7,B2)</f>
        <v>1</v>
      </c>
      <c r="O2" s="8" t="n">
        <f aca="false">MAX(E$2:E$23)-E2</f>
        <v>9</v>
      </c>
    </row>
    <row r="3" customFormat="false" ht="14.25" hidden="false" customHeight="true" outlineLevel="0" collapsed="false">
      <c r="A3" s="10" t="n">
        <f aca="false">RANK(E3,E$2:E$23,0)</f>
        <v>1</v>
      </c>
      <c r="B3" s="11" t="s">
        <v>49</v>
      </c>
      <c r="C3" s="11" t="str">
        <f aca="false">IFERROR(INDEX('Driver Bios'!$C$2:$C$23,MATCH(B3,'Driver Bios'!$B$2:$B$23,0)),"Mercedes")</f>
        <v>Mercedes</v>
      </c>
      <c r="D3" s="11" t="s">
        <v>130</v>
      </c>
      <c r="E3" s="10" t="n">
        <f aca="false">IFERROR(COUNTIF('Race Results'!$E$2:$E$25,B3)*25+COUNTIF('Race Results'!$G$2:$G$25,B3)*18+COUNTIF('Race Results'!$H$2:$H$25,B3)*15+COUNTIF('Race Results'!$I$2:$I$25,B3)*12+COUNTIF('Race Results'!$J$2:$J$25,B3)*10+COUNTIF('Race Results'!$K$2:$K$25,B3)*8+COUNTIF('Race Results'!$L$2:$L$25,B3)*6+COUNTIF('Race Results'!$M$2:$M$25,B3)*4+COUNTIF('Race Results'!$N$2:$N$25,B3)*2+COUNTIF('Race Results'!$O$2:$O$25,B3)*1+SUMPRODUCT(('Race Results'!$Q$2:$Q$25=B3)*('Race Results'!$R$2:$R$25="Yes")*1),0)+IFERROR(COUNTIF('Sprint Results'!$E$2:$E$7,B3)*8+COUNTIF('Sprint Results'!$F$2:$F$7,B3)*7+COUNTIF('Sprint Results'!$G$2:$G$7,B3)*6+COUNTIF('Sprint Results'!$H$2:$H$7,B3)*5+COUNTIF('Sprint Results'!$I$2:$I$7,B3)*4+COUNTIF('Sprint Results'!$J$2:$J$7,B3)*3+COUNTIF('Sprint Results'!$K$2:$K$7,B3)*2+COUNTIF('Sprint Results'!$L$2:$L$7,B3)*1,0)</f>
        <v>72</v>
      </c>
      <c r="F3" s="10" t="n">
        <f aca="false">IFERROR(IFERROR(COUNTIF('Race Results'!$E$2:$E$25,B3)*25+COUNTIF('Race Results'!$G$2:$G$25,B3)*18+COUNTIF('Race Results'!$H$2:$H$25,B3)*15+COUNTIF('Race Results'!$I$2:$I$25,B3)*12+COUNTIF('Race Results'!$J$2:$J$25,B3)*10+COUNTIF('Race Results'!$K$2:$K$25,B3)*8+COUNTIF('Race Results'!$L$2:$L$25,B3)*6+COUNTIF('Race Results'!$M$2:$M$25,B3)*4+COUNTIF('Race Results'!$N$2:$N$25,B3)*2+COUNTIF('Race Results'!$O$2:$O$25,B3)*1+SUMPRODUCT(('Race Results'!$Q$2:$Q$25=B3)*('Race Results'!$R$2:$R$25="Yes")*1),0),0)</f>
        <v>68</v>
      </c>
      <c r="G3" s="10" t="n">
        <f aca="false">IFERROR(IFERROR(COUNTIF('Sprint Results'!$E$2:$E$7,B3)*8+COUNTIF('Sprint Results'!$F$2:$F$7,B3)*7+COUNTIF('Sprint Results'!$G$2:$G$7,B3)*6+COUNTIF('Sprint Results'!$H$2:$H$7,B3)*5+COUNTIF('Sprint Results'!$I$2:$I$7,B3)*4+COUNTIF('Sprint Results'!$J$2:$J$7,B3)*3+COUNTIF('Sprint Results'!$K$2:$K$7,B3)*2+COUNTIF('Sprint Results'!$L$2:$L$7,B3)*1,0),0)</f>
        <v>4</v>
      </c>
      <c r="H3" s="10" t="n">
        <f aca="false">COUNTIF('Race Results'!$E$2:$E$25,B3)</f>
        <v>2</v>
      </c>
      <c r="I3" s="10" t="n">
        <f aca="false">COUNTIF('Race Results'!$G$2:$G$25,B3)</f>
        <v>1</v>
      </c>
      <c r="J3" s="10" t="n">
        <f aca="false">COUNTIF('Race Results'!$H$2:$H$25,B3)</f>
        <v>0</v>
      </c>
      <c r="K3" s="10" t="n">
        <f aca="false">H3+I3+J3</f>
        <v>3</v>
      </c>
      <c r="L3" s="10" t="n">
        <f aca="false">COUNTIF('Race Results'!$P$2:$P$25,B3)</f>
        <v>2</v>
      </c>
      <c r="M3" s="10" t="n">
        <f aca="false">COUNTIF('Race Results'!$Q$2:$Q$25,B3)</f>
        <v>2</v>
      </c>
      <c r="N3" s="10" t="n">
        <f aca="false">COUNTIF('Sprint Results'!$E$2:$E$7,B3)</f>
        <v>0</v>
      </c>
      <c r="O3" s="10" t="n">
        <f aca="false">MAX(E$2:E$23)-E3</f>
        <v>0</v>
      </c>
    </row>
    <row r="4" customFormat="false" ht="14.25" hidden="false" customHeight="true" outlineLevel="0" collapsed="false">
      <c r="A4" s="8" t="n">
        <f aca="false">RANK(E4,E$2:E$23,0)</f>
        <v>3</v>
      </c>
      <c r="B4" s="9" t="s">
        <v>50</v>
      </c>
      <c r="C4" s="9" t="str">
        <f aca="false">IFERROR(INDEX('Driver Bios'!$C$2:$C$23,MATCH(B4,'Driver Bios'!$B$2:$B$23,0)),"Ferrari")</f>
        <v>Ferrari</v>
      </c>
      <c r="D4" s="9" t="s">
        <v>131</v>
      </c>
      <c r="E4" s="8" t="n">
        <f aca="false">IFERROR(COUNTIF('Race Results'!$E$2:$E$25,B4)*25+COUNTIF('Race Results'!$G$2:$G$25,B4)*18+COUNTIF('Race Results'!$H$2:$H$25,B4)*15+COUNTIF('Race Results'!$I$2:$I$25,B4)*12+COUNTIF('Race Results'!$J$2:$J$25,B4)*10+COUNTIF('Race Results'!$K$2:$K$25,B4)*8+COUNTIF('Race Results'!$L$2:$L$25,B4)*6+COUNTIF('Race Results'!$M$2:$M$25,B4)*4+COUNTIF('Race Results'!$N$2:$N$25,B4)*2+COUNTIF('Race Results'!$O$2:$O$25,B4)*1+SUMPRODUCT(('Race Results'!$Q$2:$Q$25=B4)*('Race Results'!$R$2:$R$25="Yes")*1),0)+IFERROR(COUNTIF('Sprint Results'!$E$2:$E$7,B4)*8+COUNTIF('Sprint Results'!$F$2:$F$7,B4)*7+COUNTIF('Sprint Results'!$G$2:$G$7,B4)*6+COUNTIF('Sprint Results'!$H$2:$H$7,B4)*5+COUNTIF('Sprint Results'!$I$2:$I$7,B4)*4+COUNTIF('Sprint Results'!$J$2:$J$7,B4)*3+COUNTIF('Sprint Results'!$K$2:$K$7,B4)*2+COUNTIF('Sprint Results'!$L$2:$L$7,B4)*1,0)</f>
        <v>49</v>
      </c>
      <c r="F4" s="8" t="n">
        <f aca="false">IFERROR(IFERROR(COUNTIF('Race Results'!$E$2:$E$25,B4)*25+COUNTIF('Race Results'!$G$2:$G$25,B4)*18+COUNTIF('Race Results'!$H$2:$H$25,B4)*15+COUNTIF('Race Results'!$I$2:$I$25,B4)*12+COUNTIF('Race Results'!$J$2:$J$25,B4)*10+COUNTIF('Race Results'!$K$2:$K$25,B4)*8+COUNTIF('Race Results'!$L$2:$L$25,B4)*6+COUNTIF('Race Results'!$M$2:$M$25,B4)*4+COUNTIF('Race Results'!$N$2:$N$25,B4)*2+COUNTIF('Race Results'!$O$2:$O$25,B4)*1+SUMPRODUCT(('Race Results'!$Q$2:$Q$25=B4)*('Race Results'!$R$2:$R$25="Yes")*1),0),0)</f>
        <v>42</v>
      </c>
      <c r="G4" s="8" t="n">
        <f aca="false">IFERROR(IFERROR(COUNTIF('Sprint Results'!$E$2:$E$7,B4)*8+COUNTIF('Sprint Results'!$F$2:$F$7,B4)*7+COUNTIF('Sprint Results'!$G$2:$G$7,B4)*6+COUNTIF('Sprint Results'!$H$2:$H$7,B4)*5+COUNTIF('Sprint Results'!$I$2:$I$7,B4)*4+COUNTIF('Sprint Results'!$J$2:$J$7,B4)*3+COUNTIF('Sprint Results'!$K$2:$K$7,B4)*2+COUNTIF('Sprint Results'!$L$2:$L$7,B4)*1,0),0)</f>
        <v>7</v>
      </c>
      <c r="H4" s="8" t="n">
        <f aca="false">COUNTIF('Race Results'!$E$2:$E$25,B4)</f>
        <v>0</v>
      </c>
      <c r="I4" s="8" t="n">
        <f aca="false">COUNTIF('Race Results'!$G$2:$G$25,B4)</f>
        <v>0</v>
      </c>
      <c r="J4" s="8" t="n">
        <f aca="false">COUNTIF('Race Results'!$H$2:$H$25,B4)</f>
        <v>2</v>
      </c>
      <c r="K4" s="8" t="n">
        <f aca="false">H4+I4+J4</f>
        <v>2</v>
      </c>
      <c r="L4" s="8" t="n">
        <f aca="false">COUNTIF('Race Results'!$P$2:$P$25,B4)</f>
        <v>0</v>
      </c>
      <c r="M4" s="8" t="n">
        <f aca="false">COUNTIF('Race Results'!$Q$2:$Q$25,B4)</f>
        <v>0</v>
      </c>
      <c r="N4" s="8" t="n">
        <f aca="false">COUNTIF('Sprint Results'!$E$2:$E$7,B4)</f>
        <v>0</v>
      </c>
      <c r="O4" s="8" t="n">
        <f aca="false">MAX(E$2:E$23)-E4</f>
        <v>23</v>
      </c>
    </row>
    <row r="5" customFormat="false" ht="14.25" hidden="false" customHeight="true" outlineLevel="0" collapsed="false">
      <c r="A5" s="10" t="n">
        <f aca="false">RANK(E5,E$2:E$23,0)</f>
        <v>4</v>
      </c>
      <c r="B5" s="11" t="s">
        <v>51</v>
      </c>
      <c r="C5" s="11" t="str">
        <f aca="false">IFERROR(INDEX('Driver Bios'!$C$2:$C$23,MATCH(B5,'Driver Bios'!$B$2:$B$23,0)),"Ferrari")</f>
        <v>Ferrari</v>
      </c>
      <c r="D5" s="11" t="s">
        <v>129</v>
      </c>
      <c r="E5" s="10" t="n">
        <f aca="false">IFERROR(COUNTIF('Race Results'!$E$2:$E$25,B5)*25+COUNTIF('Race Results'!$G$2:$G$25,B5)*18+COUNTIF('Race Results'!$H$2:$H$25,B5)*15+COUNTIF('Race Results'!$I$2:$I$25,B5)*12+COUNTIF('Race Results'!$J$2:$J$25,B5)*10+COUNTIF('Race Results'!$K$2:$K$25,B5)*8+COUNTIF('Race Results'!$L$2:$L$25,B5)*6+COUNTIF('Race Results'!$M$2:$M$25,B5)*4+COUNTIF('Race Results'!$N$2:$N$25,B5)*2+COUNTIF('Race Results'!$O$2:$O$25,B5)*1+SUMPRODUCT(('Race Results'!$Q$2:$Q$25=B5)*('Race Results'!$R$2:$R$25="Yes")*1),0)+IFERROR(COUNTIF('Sprint Results'!$E$2:$E$7,B5)*8+COUNTIF('Sprint Results'!$F$2:$F$7,B5)*7+COUNTIF('Sprint Results'!$G$2:$G$7,B5)*6+COUNTIF('Sprint Results'!$H$2:$H$7,B5)*5+COUNTIF('Sprint Results'!$I$2:$I$7,B5)*4+COUNTIF('Sprint Results'!$J$2:$J$7,B5)*3+COUNTIF('Sprint Results'!$K$2:$K$7,B5)*2+COUNTIF('Sprint Results'!$L$2:$L$7,B5)*1,0)</f>
        <v>41</v>
      </c>
      <c r="F5" s="10" t="n">
        <f aca="false">IFERROR(IFERROR(COUNTIF('Race Results'!$E$2:$E$25,B5)*25+COUNTIF('Race Results'!$G$2:$G$25,B5)*18+COUNTIF('Race Results'!$H$2:$H$25,B5)*15+COUNTIF('Race Results'!$I$2:$I$25,B5)*12+COUNTIF('Race Results'!$J$2:$J$25,B5)*10+COUNTIF('Race Results'!$K$2:$K$25,B5)*8+COUNTIF('Race Results'!$L$2:$L$25,B5)*6+COUNTIF('Race Results'!$M$2:$M$25,B5)*4+COUNTIF('Race Results'!$N$2:$N$25,B5)*2+COUNTIF('Race Results'!$O$2:$O$25,B5)*1+SUMPRODUCT(('Race Results'!$Q$2:$Q$25=B5)*('Race Results'!$R$2:$R$25="Yes")*1),0),0)</f>
        <v>35</v>
      </c>
      <c r="G5" s="10" t="n">
        <f aca="false">IFERROR(IFERROR(COUNTIF('Sprint Results'!$E$2:$E$7,B5)*8+COUNTIF('Sprint Results'!$F$2:$F$7,B5)*7+COUNTIF('Sprint Results'!$G$2:$G$7,B5)*6+COUNTIF('Sprint Results'!$H$2:$H$7,B5)*5+COUNTIF('Sprint Results'!$I$2:$I$7,B5)*4+COUNTIF('Sprint Results'!$J$2:$J$7,B5)*3+COUNTIF('Sprint Results'!$K$2:$K$7,B5)*2+COUNTIF('Sprint Results'!$L$2:$L$7,B5)*1,0),0)</f>
        <v>6</v>
      </c>
      <c r="H5" s="10" t="n">
        <f aca="false">COUNTIF('Race Results'!$E$2:$E$25,B5)</f>
        <v>0</v>
      </c>
      <c r="I5" s="10" t="n">
        <f aca="false">COUNTIF('Race Results'!$G$2:$G$25,B5)</f>
        <v>0</v>
      </c>
      <c r="J5" s="10" t="n">
        <f aca="false">COUNTIF('Race Results'!$H$2:$H$25,B5)</f>
        <v>1</v>
      </c>
      <c r="K5" s="10" t="n">
        <f aca="false">H5+I5+J5</f>
        <v>1</v>
      </c>
      <c r="L5" s="10" t="n">
        <f aca="false">COUNTIF('Race Results'!$P$2:$P$25,B5)</f>
        <v>0</v>
      </c>
      <c r="M5" s="10" t="n">
        <f aca="false">COUNTIF('Race Results'!$Q$2:$Q$25,B5)</f>
        <v>0</v>
      </c>
      <c r="N5" s="10" t="n">
        <f aca="false">COUNTIF('Sprint Results'!$E$2:$E$7,B5)</f>
        <v>0</v>
      </c>
      <c r="O5" s="10" t="n">
        <f aca="false">MAX(E$2:E$23)-E5</f>
        <v>31</v>
      </c>
    </row>
    <row r="6" customFormat="false" ht="14.25" hidden="false" customHeight="true" outlineLevel="0" collapsed="false">
      <c r="A6" s="8" t="n">
        <f aca="false">RANK(E6,E$2:E$23,0)</f>
        <v>7</v>
      </c>
      <c r="B6" s="9" t="s">
        <v>54</v>
      </c>
      <c r="C6" s="9" t="str">
        <f aca="false">IFERROR(INDEX('Driver Bios'!$C$2:$C$23,MATCH(B6,'Driver Bios'!$B$2:$B$23,0)),"Haas")</f>
        <v>Haas</v>
      </c>
      <c r="D6" s="9" t="s">
        <v>129</v>
      </c>
      <c r="E6" s="8" t="n">
        <f aca="false">IFERROR(COUNTIF('Race Results'!$E$2:$E$25,B6)*25+COUNTIF('Race Results'!$G$2:$G$25,B6)*18+COUNTIF('Race Results'!$H$2:$H$25,B6)*15+COUNTIF('Race Results'!$I$2:$I$25,B6)*12+COUNTIF('Race Results'!$J$2:$J$25,B6)*10+COUNTIF('Race Results'!$K$2:$K$25,B6)*8+COUNTIF('Race Results'!$L$2:$L$25,B6)*6+COUNTIF('Race Results'!$M$2:$M$25,B6)*4+COUNTIF('Race Results'!$N$2:$N$25,B6)*2+COUNTIF('Race Results'!$O$2:$O$25,B6)*1+SUMPRODUCT(('Race Results'!$Q$2:$Q$25=B6)*('Race Results'!$R$2:$R$25="Yes")*1),0)+IFERROR(COUNTIF('Sprint Results'!$E$2:$E$7,B6)*8+COUNTIF('Sprint Results'!$F$2:$F$7,B6)*7+COUNTIF('Sprint Results'!$G$2:$G$7,B6)*6+COUNTIF('Sprint Results'!$H$2:$H$7,B6)*5+COUNTIF('Sprint Results'!$I$2:$I$7,B6)*4+COUNTIF('Sprint Results'!$J$2:$J$7,B6)*3+COUNTIF('Sprint Results'!$K$2:$K$7,B6)*2+COUNTIF('Sprint Results'!$L$2:$L$7,B6)*1,0)</f>
        <v>17</v>
      </c>
      <c r="F6" s="8" t="n">
        <f aca="false">IFERROR(IFERROR(COUNTIF('Race Results'!$E$2:$E$25,B6)*25+COUNTIF('Race Results'!$G$2:$G$25,B6)*18+COUNTIF('Race Results'!$H$2:$H$25,B6)*15+COUNTIF('Race Results'!$I$2:$I$25,B6)*12+COUNTIF('Race Results'!$J$2:$J$25,B6)*10+COUNTIF('Race Results'!$K$2:$K$25,B6)*8+COUNTIF('Race Results'!$L$2:$L$25,B6)*6+COUNTIF('Race Results'!$M$2:$M$25,B6)*4+COUNTIF('Race Results'!$N$2:$N$25,B6)*2+COUNTIF('Race Results'!$O$2:$O$25,B6)*1+SUMPRODUCT(('Race Results'!$Q$2:$Q$25=B6)*('Race Results'!$R$2:$R$25="Yes")*1),0),0)</f>
        <v>16</v>
      </c>
      <c r="G6" s="8" t="n">
        <f aca="false">IFERROR(IFERROR(COUNTIF('Sprint Results'!$E$2:$E$7,B6)*8+COUNTIF('Sprint Results'!$F$2:$F$7,B6)*7+COUNTIF('Sprint Results'!$G$2:$G$7,B6)*6+COUNTIF('Sprint Results'!$H$2:$H$7,B6)*5+COUNTIF('Sprint Results'!$I$2:$I$7,B6)*4+COUNTIF('Sprint Results'!$J$2:$J$7,B6)*3+COUNTIF('Sprint Results'!$K$2:$K$7,B6)*2+COUNTIF('Sprint Results'!$L$2:$L$7,B6)*1,0),0)</f>
        <v>1</v>
      </c>
      <c r="H6" s="8" t="n">
        <f aca="false">COUNTIF('Race Results'!$E$2:$E$25,B6)</f>
        <v>0</v>
      </c>
      <c r="I6" s="8" t="n">
        <f aca="false">COUNTIF('Race Results'!$G$2:$G$25,B6)</f>
        <v>0</v>
      </c>
      <c r="J6" s="8" t="n">
        <f aca="false">COUNTIF('Race Results'!$H$2:$H$25,B6)</f>
        <v>0</v>
      </c>
      <c r="K6" s="8" t="n">
        <f aca="false">H6+I6+J6</f>
        <v>0</v>
      </c>
      <c r="L6" s="8" t="n">
        <f aca="false">COUNTIF('Race Results'!$P$2:$P$25,B6)</f>
        <v>0</v>
      </c>
      <c r="M6" s="8" t="n">
        <f aca="false">COUNTIF('Race Results'!$Q$2:$Q$25,B6)</f>
        <v>0</v>
      </c>
      <c r="N6" s="8" t="n">
        <f aca="false">COUNTIF('Sprint Results'!$E$2:$E$7,B6)</f>
        <v>0</v>
      </c>
      <c r="O6" s="8" t="n">
        <f aca="false">MAX(E$2:E$23)-E6</f>
        <v>55</v>
      </c>
    </row>
    <row r="7" customFormat="false" ht="14.25" hidden="false" customHeight="true" outlineLevel="0" collapsed="false">
      <c r="A7" s="10" t="n">
        <f aca="false">RANK(E7,E$2:E$23,0)</f>
        <v>5</v>
      </c>
      <c r="B7" s="11" t="s">
        <v>52</v>
      </c>
      <c r="C7" s="11" t="str">
        <f aca="false">IFERROR(INDEX('Driver Bios'!$C$2:$C$23,MATCH(B7,'Driver Bios'!$B$2:$B$23,0)),"McLaren")</f>
        <v>McLaren</v>
      </c>
      <c r="D7" s="11" t="s">
        <v>129</v>
      </c>
      <c r="E7" s="10" t="n">
        <f aca="false">IFERROR(COUNTIF('Race Results'!$E$2:$E$25,B7)*25+COUNTIF('Race Results'!$G$2:$G$25,B7)*18+COUNTIF('Race Results'!$H$2:$H$25,B7)*15+COUNTIF('Race Results'!$I$2:$I$25,B7)*12+COUNTIF('Race Results'!$J$2:$J$25,B7)*10+COUNTIF('Race Results'!$K$2:$K$25,B7)*8+COUNTIF('Race Results'!$L$2:$L$25,B7)*6+COUNTIF('Race Results'!$M$2:$M$25,B7)*4+COUNTIF('Race Results'!$N$2:$N$25,B7)*2+COUNTIF('Race Results'!$O$2:$O$25,B7)*1+SUMPRODUCT(('Race Results'!$Q$2:$Q$25=B7)*('Race Results'!$R$2:$R$25="Yes")*1),0)+IFERROR(COUNTIF('Sprint Results'!$E$2:$E$7,B7)*8+COUNTIF('Sprint Results'!$F$2:$F$7,B7)*7+COUNTIF('Sprint Results'!$G$2:$G$7,B7)*6+COUNTIF('Sprint Results'!$H$2:$H$7,B7)*5+COUNTIF('Sprint Results'!$I$2:$I$7,B7)*4+COUNTIF('Sprint Results'!$J$2:$J$7,B7)*3+COUNTIF('Sprint Results'!$K$2:$K$7,B7)*2+COUNTIF('Sprint Results'!$L$2:$L$7,B7)*1,0)</f>
        <v>25</v>
      </c>
      <c r="F7" s="10" t="n">
        <f aca="false">IFERROR(IFERROR(COUNTIF('Race Results'!$E$2:$E$25,B7)*25+COUNTIF('Race Results'!$G$2:$G$25,B7)*18+COUNTIF('Race Results'!$H$2:$H$25,B7)*15+COUNTIF('Race Results'!$I$2:$I$25,B7)*12+COUNTIF('Race Results'!$J$2:$J$25,B7)*10+COUNTIF('Race Results'!$K$2:$K$25,B7)*8+COUNTIF('Race Results'!$L$2:$L$25,B7)*6+COUNTIF('Race Results'!$M$2:$M$25,B7)*4+COUNTIF('Race Results'!$N$2:$N$25,B7)*2+COUNTIF('Race Results'!$O$2:$O$25,B7)*1+SUMPRODUCT(('Race Results'!$Q$2:$Q$25=B7)*('Race Results'!$R$2:$R$25="Yes")*1),0),0)</f>
        <v>20</v>
      </c>
      <c r="G7" s="10" t="n">
        <f aca="false">IFERROR(IFERROR(COUNTIF('Sprint Results'!$E$2:$E$7,B7)*8+COUNTIF('Sprint Results'!$F$2:$F$7,B7)*7+COUNTIF('Sprint Results'!$G$2:$G$7,B7)*6+COUNTIF('Sprint Results'!$H$2:$H$7,B7)*5+COUNTIF('Sprint Results'!$I$2:$I$7,B7)*4+COUNTIF('Sprint Results'!$J$2:$J$7,B7)*3+COUNTIF('Sprint Results'!$K$2:$K$7,B7)*2+COUNTIF('Sprint Results'!$L$2:$L$7,B7)*1,0),0)</f>
        <v>5</v>
      </c>
      <c r="H7" s="10" t="n">
        <f aca="false">COUNTIF('Race Results'!$E$2:$E$25,B7)</f>
        <v>0</v>
      </c>
      <c r="I7" s="10" t="n">
        <f aca="false">COUNTIF('Race Results'!$G$2:$G$25,B7)</f>
        <v>0</v>
      </c>
      <c r="J7" s="10" t="n">
        <f aca="false">COUNTIF('Race Results'!$H$2:$H$25,B7)</f>
        <v>0</v>
      </c>
      <c r="K7" s="10" t="n">
        <f aca="false">H7+I7+J7</f>
        <v>0</v>
      </c>
      <c r="L7" s="10" t="n">
        <f aca="false">COUNTIF('Race Results'!$P$2:$P$25,B7)</f>
        <v>0</v>
      </c>
      <c r="M7" s="10" t="n">
        <f aca="false">COUNTIF('Race Results'!$Q$2:$Q$25,B7)</f>
        <v>0</v>
      </c>
      <c r="N7" s="10" t="n">
        <f aca="false">COUNTIF('Sprint Results'!$E$2:$E$7,B7)</f>
        <v>0</v>
      </c>
      <c r="O7" s="10" t="n">
        <f aca="false">MAX(E$2:E$23)-E7</f>
        <v>47</v>
      </c>
    </row>
    <row r="8" customFormat="false" ht="14.25" hidden="false" customHeight="true" outlineLevel="0" collapsed="false">
      <c r="A8" s="8" t="n">
        <f aca="false">RANK(E8,E$2:E$23,0)</f>
        <v>8</v>
      </c>
      <c r="B8" s="9" t="s">
        <v>57</v>
      </c>
      <c r="C8" s="9" t="str">
        <f aca="false">IFERROR(INDEX('Driver Bios'!$C$2:$C$23,MATCH(B8,'Driver Bios'!$B$2:$B$23,0)),"Alpine")</f>
        <v>Alpine</v>
      </c>
      <c r="D8" s="9" t="s">
        <v>132</v>
      </c>
      <c r="E8" s="8" t="n">
        <f aca="false">IFERROR(COUNTIF('Race Results'!$E$2:$E$25,B8)*25+COUNTIF('Race Results'!$G$2:$G$25,B8)*18+COUNTIF('Race Results'!$H$2:$H$25,B8)*15+COUNTIF('Race Results'!$I$2:$I$25,B8)*12+COUNTIF('Race Results'!$J$2:$J$25,B8)*10+COUNTIF('Race Results'!$K$2:$K$25,B8)*8+COUNTIF('Race Results'!$L$2:$L$25,B8)*6+COUNTIF('Race Results'!$M$2:$M$25,B8)*4+COUNTIF('Race Results'!$N$2:$N$25,B8)*2+COUNTIF('Race Results'!$O$2:$O$25,B8)*1+SUMPRODUCT(('Race Results'!$Q$2:$Q$25=B8)*('Race Results'!$R$2:$R$25="Yes")*1),0)+IFERROR(COUNTIF('Sprint Results'!$E$2:$E$7,B8)*8+COUNTIF('Sprint Results'!$F$2:$F$7,B8)*7+COUNTIF('Sprint Results'!$G$2:$G$7,B8)*6+COUNTIF('Sprint Results'!$H$2:$H$7,B8)*5+COUNTIF('Sprint Results'!$I$2:$I$7,B8)*4+COUNTIF('Sprint Results'!$J$2:$J$7,B8)*3+COUNTIF('Sprint Results'!$K$2:$K$7,B8)*2+COUNTIF('Sprint Results'!$L$2:$L$7,B8)*1,0)</f>
        <v>15</v>
      </c>
      <c r="F8" s="8" t="n">
        <f aca="false">IFERROR(IFERROR(COUNTIF('Race Results'!$E$2:$E$25,B8)*25+COUNTIF('Race Results'!$G$2:$G$25,B8)*18+COUNTIF('Race Results'!$H$2:$H$25,B8)*15+COUNTIF('Race Results'!$I$2:$I$25,B8)*12+COUNTIF('Race Results'!$J$2:$J$25,B8)*10+COUNTIF('Race Results'!$K$2:$K$25,B8)*8+COUNTIF('Race Results'!$L$2:$L$25,B8)*6+COUNTIF('Race Results'!$M$2:$M$25,B8)*4+COUNTIF('Race Results'!$N$2:$N$25,B8)*2+COUNTIF('Race Results'!$O$2:$O$25,B8)*1+SUMPRODUCT(('Race Results'!$Q$2:$Q$25=B8)*('Race Results'!$R$2:$R$25="Yes")*1),0),0)</f>
        <v>15</v>
      </c>
      <c r="G8" s="8" t="n">
        <f aca="false">IFERROR(IFERROR(COUNTIF('Sprint Results'!$E$2:$E$7,B8)*8+COUNTIF('Sprint Results'!$F$2:$F$7,B8)*7+COUNTIF('Sprint Results'!$G$2:$G$7,B8)*6+COUNTIF('Sprint Results'!$H$2:$H$7,B8)*5+COUNTIF('Sprint Results'!$I$2:$I$7,B8)*4+COUNTIF('Sprint Results'!$J$2:$J$7,B8)*3+COUNTIF('Sprint Results'!$K$2:$K$7,B8)*2+COUNTIF('Sprint Results'!$L$2:$L$7,B8)*1,0),0)</f>
        <v>0</v>
      </c>
      <c r="H8" s="8" t="n">
        <f aca="false">COUNTIF('Race Results'!$E$2:$E$25,B8)</f>
        <v>0</v>
      </c>
      <c r="I8" s="8" t="n">
        <f aca="false">COUNTIF('Race Results'!$G$2:$G$25,B8)</f>
        <v>0</v>
      </c>
      <c r="J8" s="8" t="n">
        <f aca="false">COUNTIF('Race Results'!$H$2:$H$25,B8)</f>
        <v>0</v>
      </c>
      <c r="K8" s="8" t="n">
        <f aca="false">H8+I8+J8</f>
        <v>0</v>
      </c>
      <c r="L8" s="8" t="n">
        <f aca="false">COUNTIF('Race Results'!$P$2:$P$25,B8)</f>
        <v>0</v>
      </c>
      <c r="M8" s="8" t="n">
        <f aca="false">COUNTIF('Race Results'!$Q$2:$Q$25,B8)</f>
        <v>0</v>
      </c>
      <c r="N8" s="8" t="n">
        <f aca="false">COUNTIF('Sprint Results'!$E$2:$E$7,B8)</f>
        <v>0</v>
      </c>
      <c r="O8" s="8" t="n">
        <f aca="false">MAX(E$2:E$23)-E8</f>
        <v>57</v>
      </c>
    </row>
    <row r="9" customFormat="false" ht="14.25" hidden="false" customHeight="true" outlineLevel="0" collapsed="false">
      <c r="A9" s="10" t="n">
        <f aca="false">RANK(E9,E$2:E$23,0)</f>
        <v>9</v>
      </c>
      <c r="B9" s="11" t="s">
        <v>53</v>
      </c>
      <c r="C9" s="11" t="str">
        <f aca="false">IFERROR(INDEX('Driver Bios'!$C$2:$C$23,MATCH(B9,'Driver Bios'!$B$2:$B$23,0)),"Red Bull Racing")</f>
        <v>Red Bull Racing</v>
      </c>
      <c r="D9" s="11" t="s">
        <v>133</v>
      </c>
      <c r="E9" s="10" t="n">
        <f aca="false">IFERROR(COUNTIF('Race Results'!$E$2:$E$25,B9)*25+COUNTIF('Race Results'!$G$2:$G$25,B9)*18+COUNTIF('Race Results'!$H$2:$H$25,B9)*15+COUNTIF('Race Results'!$I$2:$I$25,B9)*12+COUNTIF('Race Results'!$J$2:$J$25,B9)*10+COUNTIF('Race Results'!$K$2:$K$25,B9)*8+COUNTIF('Race Results'!$L$2:$L$25,B9)*6+COUNTIF('Race Results'!$M$2:$M$25,B9)*4+COUNTIF('Race Results'!$N$2:$N$25,B9)*2+COUNTIF('Race Results'!$O$2:$O$25,B9)*1+SUMPRODUCT(('Race Results'!$Q$2:$Q$25=B9)*('Race Results'!$R$2:$R$25="Yes")*1),0)+IFERROR(COUNTIF('Sprint Results'!$E$2:$E$7,B9)*8+COUNTIF('Sprint Results'!$F$2:$F$7,B9)*7+COUNTIF('Sprint Results'!$G$2:$G$7,B9)*6+COUNTIF('Sprint Results'!$H$2:$H$7,B9)*5+COUNTIF('Sprint Results'!$I$2:$I$7,B9)*4+COUNTIF('Sprint Results'!$J$2:$J$7,B9)*3+COUNTIF('Sprint Results'!$K$2:$K$7,B9)*2+COUNTIF('Sprint Results'!$L$2:$L$7,B9)*1,0)</f>
        <v>12</v>
      </c>
      <c r="F9" s="10" t="n">
        <f aca="false">IFERROR(IFERROR(COUNTIF('Race Results'!$E$2:$E$25,B9)*25+COUNTIF('Race Results'!$G$2:$G$25,B9)*18+COUNTIF('Race Results'!$H$2:$H$25,B9)*15+COUNTIF('Race Results'!$I$2:$I$25,B9)*12+COUNTIF('Race Results'!$J$2:$J$25,B9)*10+COUNTIF('Race Results'!$K$2:$K$25,B9)*8+COUNTIF('Race Results'!$L$2:$L$25,B9)*6+COUNTIF('Race Results'!$M$2:$M$25,B9)*4+COUNTIF('Race Results'!$N$2:$N$25,B9)*2+COUNTIF('Race Results'!$O$2:$O$25,B9)*1+SUMPRODUCT(('Race Results'!$Q$2:$Q$25=B9)*('Race Results'!$R$2:$R$25="Yes")*1),0),0)</f>
        <v>12</v>
      </c>
      <c r="G9" s="10" t="n">
        <f aca="false">IFERROR(IFERROR(COUNTIF('Sprint Results'!$E$2:$E$7,B9)*8+COUNTIF('Sprint Results'!$F$2:$F$7,B9)*7+COUNTIF('Sprint Results'!$G$2:$G$7,B9)*6+COUNTIF('Sprint Results'!$H$2:$H$7,B9)*5+COUNTIF('Sprint Results'!$I$2:$I$7,B9)*4+COUNTIF('Sprint Results'!$J$2:$J$7,B9)*3+COUNTIF('Sprint Results'!$K$2:$K$7,B9)*2+COUNTIF('Sprint Results'!$L$2:$L$7,B9)*1,0),0)</f>
        <v>0</v>
      </c>
      <c r="H9" s="10" t="n">
        <f aca="false">COUNTIF('Race Results'!$E$2:$E$25,B9)</f>
        <v>0</v>
      </c>
      <c r="I9" s="10" t="n">
        <f aca="false">COUNTIF('Race Results'!$G$2:$G$25,B9)</f>
        <v>0</v>
      </c>
      <c r="J9" s="10" t="n">
        <f aca="false">COUNTIF('Race Results'!$H$2:$H$25,B9)</f>
        <v>0</v>
      </c>
      <c r="K9" s="10" t="n">
        <f aca="false">H9+I9+J9</f>
        <v>0</v>
      </c>
      <c r="L9" s="10" t="n">
        <f aca="false">COUNTIF('Race Results'!$P$2:$P$25,B9)</f>
        <v>0</v>
      </c>
      <c r="M9" s="10" t="n">
        <f aca="false">COUNTIF('Race Results'!$Q$2:$Q$25,B9)</f>
        <v>0</v>
      </c>
      <c r="N9" s="10" t="n">
        <f aca="false">COUNTIF('Sprint Results'!$E$2:$E$7,B9)</f>
        <v>0</v>
      </c>
      <c r="O9" s="10" t="n">
        <f aca="false">MAX(E$2:E$23)-E9</f>
        <v>60</v>
      </c>
    </row>
    <row r="10" customFormat="false" ht="14.25" hidden="false" customHeight="true" outlineLevel="0" collapsed="false">
      <c r="A10" s="8" t="n">
        <f aca="false">RANK(E10,E$2:E$23,0)</f>
        <v>10</v>
      </c>
      <c r="B10" s="9" t="s">
        <v>61</v>
      </c>
      <c r="C10" s="9" t="str">
        <f aca="false">IFERROR(INDEX('Driver Bios'!$C$2:$C$23,MATCH(B10,'Driver Bios'!$B$2:$B$23,0)),"Racing Bulls")</f>
        <v>Racing Bulls</v>
      </c>
      <c r="D10" s="9" t="s">
        <v>134</v>
      </c>
      <c r="E10" s="8" t="n">
        <f aca="false">IFERROR(COUNTIF('Race Results'!$E$2:$E$25,B10)*25+COUNTIF('Race Results'!$G$2:$G$25,B10)*18+COUNTIF('Race Results'!$H$2:$H$25,B10)*15+COUNTIF('Race Results'!$I$2:$I$25,B10)*12+COUNTIF('Race Results'!$J$2:$J$25,B10)*10+COUNTIF('Race Results'!$K$2:$K$25,B10)*8+COUNTIF('Race Results'!$L$2:$L$25,B10)*6+COUNTIF('Race Results'!$M$2:$M$25,B10)*4+COUNTIF('Race Results'!$N$2:$N$25,B10)*2+COUNTIF('Race Results'!$O$2:$O$25,B10)*1+SUMPRODUCT(('Race Results'!$Q$2:$Q$25=B10)*('Race Results'!$R$2:$R$25="Yes")*1),0)+IFERROR(COUNTIF('Sprint Results'!$E$2:$E$7,B10)*8+COUNTIF('Sprint Results'!$F$2:$F$7,B10)*7+COUNTIF('Sprint Results'!$G$2:$G$7,B10)*6+COUNTIF('Sprint Results'!$H$2:$H$7,B10)*5+COUNTIF('Sprint Results'!$I$2:$I$7,B10)*4+COUNTIF('Sprint Results'!$J$2:$J$7,B10)*3+COUNTIF('Sprint Results'!$K$2:$K$7,B10)*2+COUNTIF('Sprint Results'!$L$2:$L$7,B10)*1,0)</f>
        <v>10</v>
      </c>
      <c r="F10" s="8" t="n">
        <f aca="false">IFERROR(IFERROR(COUNTIF('Race Results'!$E$2:$E$25,B10)*25+COUNTIF('Race Results'!$G$2:$G$25,B10)*18+COUNTIF('Race Results'!$H$2:$H$25,B10)*15+COUNTIF('Race Results'!$I$2:$I$25,B10)*12+COUNTIF('Race Results'!$J$2:$J$25,B10)*10+COUNTIF('Race Results'!$K$2:$K$25,B10)*8+COUNTIF('Race Results'!$L$2:$L$25,B10)*6+COUNTIF('Race Results'!$M$2:$M$25,B10)*4+COUNTIF('Race Results'!$N$2:$N$25,B10)*2+COUNTIF('Race Results'!$O$2:$O$25,B10)*1+SUMPRODUCT(('Race Results'!$Q$2:$Q$25=B10)*('Race Results'!$R$2:$R$25="Yes")*1),0),0)</f>
        <v>8</v>
      </c>
      <c r="G10" s="8" t="n">
        <f aca="false">IFERROR(IFERROR(COUNTIF('Sprint Results'!$E$2:$E$7,B10)*8+COUNTIF('Sprint Results'!$F$2:$F$7,B10)*7+COUNTIF('Sprint Results'!$G$2:$G$7,B10)*6+COUNTIF('Sprint Results'!$H$2:$H$7,B10)*5+COUNTIF('Sprint Results'!$I$2:$I$7,B10)*4+COUNTIF('Sprint Results'!$J$2:$J$7,B10)*3+COUNTIF('Sprint Results'!$K$2:$K$7,B10)*2+COUNTIF('Sprint Results'!$L$2:$L$7,B10)*1,0),0)</f>
        <v>2</v>
      </c>
      <c r="H10" s="8" t="n">
        <f aca="false">COUNTIF('Race Results'!$E$2:$E$25,B10)</f>
        <v>0</v>
      </c>
      <c r="I10" s="8" t="n">
        <f aca="false">COUNTIF('Race Results'!$G$2:$G$25,B10)</f>
        <v>0</v>
      </c>
      <c r="J10" s="8" t="n">
        <f aca="false">COUNTIF('Race Results'!$H$2:$H$25,B10)</f>
        <v>0</v>
      </c>
      <c r="K10" s="8" t="n">
        <f aca="false">H10+I10+J10</f>
        <v>0</v>
      </c>
      <c r="L10" s="8" t="n">
        <f aca="false">COUNTIF('Race Results'!$P$2:$P$25,B10)</f>
        <v>0</v>
      </c>
      <c r="M10" s="8" t="n">
        <f aca="false">COUNTIF('Race Results'!$Q$2:$Q$25,B10)</f>
        <v>0</v>
      </c>
      <c r="N10" s="8" t="n">
        <f aca="false">COUNTIF('Sprint Results'!$E$2:$E$7,B10)</f>
        <v>0</v>
      </c>
      <c r="O10" s="8" t="n">
        <f aca="false">MAX(E$2:E$23)-E10</f>
        <v>62</v>
      </c>
    </row>
    <row r="11" customFormat="false" ht="14.25" hidden="false" customHeight="true" outlineLevel="0" collapsed="false">
      <c r="A11" s="10" t="n">
        <f aca="false">RANK(E11,E$2:E$23,0)</f>
        <v>11</v>
      </c>
      <c r="B11" s="11" t="s">
        <v>62</v>
      </c>
      <c r="C11" s="11" t="str">
        <f aca="false">IFERROR(INDEX('Driver Bios'!$C$2:$C$23,MATCH(B11,'Driver Bios'!$B$2:$B$23,0)),"Red Bull Racing")</f>
        <v>Red Bull Racing</v>
      </c>
      <c r="D11" s="11" t="s">
        <v>132</v>
      </c>
      <c r="E11" s="10" t="n">
        <f aca="false">IFERROR(COUNTIF('Race Results'!$E$2:$E$25,B11)*25+COUNTIF('Race Results'!$G$2:$G$25,B11)*18+COUNTIF('Race Results'!$H$2:$H$25,B11)*15+COUNTIF('Race Results'!$I$2:$I$25,B11)*12+COUNTIF('Race Results'!$J$2:$J$25,B11)*10+COUNTIF('Race Results'!$K$2:$K$25,B11)*8+COUNTIF('Race Results'!$L$2:$L$25,B11)*6+COUNTIF('Race Results'!$M$2:$M$25,B11)*4+COUNTIF('Race Results'!$N$2:$N$25,B11)*2+COUNTIF('Race Results'!$O$2:$O$25,B11)*1+SUMPRODUCT(('Race Results'!$Q$2:$Q$25=B11)*('Race Results'!$R$2:$R$25="Yes")*1),0)+IFERROR(COUNTIF('Sprint Results'!$E$2:$E$7,B11)*8+COUNTIF('Sprint Results'!$F$2:$F$7,B11)*7+COUNTIF('Sprint Results'!$G$2:$G$7,B11)*6+COUNTIF('Sprint Results'!$H$2:$H$7,B11)*5+COUNTIF('Sprint Results'!$I$2:$I$7,B11)*4+COUNTIF('Sprint Results'!$J$2:$J$7,B11)*3+COUNTIF('Sprint Results'!$K$2:$K$7,B11)*2+COUNTIF('Sprint Results'!$L$2:$L$7,B11)*1,0)</f>
        <v>4</v>
      </c>
      <c r="F11" s="10" t="n">
        <f aca="false">IFERROR(IFERROR(COUNTIF('Race Results'!$E$2:$E$25,B11)*25+COUNTIF('Race Results'!$G$2:$G$25,B11)*18+COUNTIF('Race Results'!$H$2:$H$25,B11)*15+COUNTIF('Race Results'!$I$2:$I$25,B11)*12+COUNTIF('Race Results'!$J$2:$J$25,B11)*10+COUNTIF('Race Results'!$K$2:$K$25,B11)*8+COUNTIF('Race Results'!$L$2:$L$25,B11)*6+COUNTIF('Race Results'!$M$2:$M$25,B11)*4+COUNTIF('Race Results'!$N$2:$N$25,B11)*2+COUNTIF('Race Results'!$O$2:$O$25,B11)*1+SUMPRODUCT(('Race Results'!$Q$2:$Q$25=B11)*('Race Results'!$R$2:$R$25="Yes")*1),0),0)</f>
        <v>4</v>
      </c>
      <c r="G11" s="10" t="n">
        <f aca="false">IFERROR(IFERROR(COUNTIF('Sprint Results'!$E$2:$E$7,B11)*8+COUNTIF('Sprint Results'!$F$2:$F$7,B11)*7+COUNTIF('Sprint Results'!$G$2:$G$7,B11)*6+COUNTIF('Sprint Results'!$H$2:$H$7,B11)*5+COUNTIF('Sprint Results'!$I$2:$I$7,B11)*4+COUNTIF('Sprint Results'!$J$2:$J$7,B11)*3+COUNTIF('Sprint Results'!$K$2:$K$7,B11)*2+COUNTIF('Sprint Results'!$L$2:$L$7,B11)*1,0),0)</f>
        <v>0</v>
      </c>
      <c r="H11" s="10" t="n">
        <f aca="false">COUNTIF('Race Results'!$E$2:$E$25,B11)</f>
        <v>0</v>
      </c>
      <c r="I11" s="10" t="n">
        <f aca="false">COUNTIF('Race Results'!$G$2:$G$25,B11)</f>
        <v>0</v>
      </c>
      <c r="J11" s="10" t="n">
        <f aca="false">COUNTIF('Race Results'!$H$2:$H$25,B11)</f>
        <v>0</v>
      </c>
      <c r="K11" s="10" t="n">
        <f aca="false">H11+I11+J11</f>
        <v>0</v>
      </c>
      <c r="L11" s="10" t="n">
        <f aca="false">COUNTIF('Race Results'!$P$2:$P$25,B11)</f>
        <v>0</v>
      </c>
      <c r="M11" s="10" t="n">
        <f aca="false">COUNTIF('Race Results'!$Q$2:$Q$25,B11)</f>
        <v>0</v>
      </c>
      <c r="N11" s="10" t="n">
        <f aca="false">COUNTIF('Sprint Results'!$E$2:$E$7,B11)</f>
        <v>0</v>
      </c>
      <c r="O11" s="10" t="n">
        <f aca="false">MAX(E$2:E$23)-E11</f>
        <v>68</v>
      </c>
    </row>
    <row r="12" customFormat="false" ht="14.25" hidden="false" customHeight="true" outlineLevel="0" collapsed="false">
      <c r="A12" s="8" t="n">
        <f aca="false">RANK(E12,E$2:E$23,0)</f>
        <v>11</v>
      </c>
      <c r="B12" s="9" t="s">
        <v>55</v>
      </c>
      <c r="C12" s="9" t="str">
        <f aca="false">IFERROR(INDEX('Driver Bios'!$C$2:$C$23,MATCH(B12,'Driver Bios'!$B$2:$B$23,0)),"Racing Bulls")</f>
        <v>Racing Bulls</v>
      </c>
      <c r="D12" s="9" t="s">
        <v>129</v>
      </c>
      <c r="E12" s="8" t="n">
        <f aca="false">IFERROR(COUNTIF('Race Results'!$E$2:$E$25,B12)*25+COUNTIF('Race Results'!$G$2:$G$25,B12)*18+COUNTIF('Race Results'!$H$2:$H$25,B12)*15+COUNTIF('Race Results'!$I$2:$I$25,B12)*12+COUNTIF('Race Results'!$J$2:$J$25,B12)*10+COUNTIF('Race Results'!$K$2:$K$25,B12)*8+COUNTIF('Race Results'!$L$2:$L$25,B12)*6+COUNTIF('Race Results'!$M$2:$M$25,B12)*4+COUNTIF('Race Results'!$N$2:$N$25,B12)*2+COUNTIF('Race Results'!$O$2:$O$25,B12)*1+SUMPRODUCT(('Race Results'!$Q$2:$Q$25=B12)*('Race Results'!$R$2:$R$25="Yes")*1),0)+IFERROR(COUNTIF('Sprint Results'!$E$2:$E$7,B12)*8+COUNTIF('Sprint Results'!$F$2:$F$7,B12)*7+COUNTIF('Sprint Results'!$G$2:$G$7,B12)*6+COUNTIF('Sprint Results'!$H$2:$H$7,B12)*5+COUNTIF('Sprint Results'!$I$2:$I$7,B12)*4+COUNTIF('Sprint Results'!$J$2:$J$7,B12)*3+COUNTIF('Sprint Results'!$K$2:$K$7,B12)*2+COUNTIF('Sprint Results'!$L$2:$L$7,B12)*1,0)</f>
        <v>4</v>
      </c>
      <c r="F12" s="8" t="n">
        <f aca="false">IFERROR(IFERROR(COUNTIF('Race Results'!$E$2:$E$25,B12)*25+COUNTIF('Race Results'!$G$2:$G$25,B12)*18+COUNTIF('Race Results'!$H$2:$H$25,B12)*15+COUNTIF('Race Results'!$I$2:$I$25,B12)*12+COUNTIF('Race Results'!$J$2:$J$25,B12)*10+COUNTIF('Race Results'!$K$2:$K$25,B12)*8+COUNTIF('Race Results'!$L$2:$L$25,B12)*6+COUNTIF('Race Results'!$M$2:$M$25,B12)*4+COUNTIF('Race Results'!$N$2:$N$25,B12)*2+COUNTIF('Race Results'!$O$2:$O$25,B12)*1+SUMPRODUCT(('Race Results'!$Q$2:$Q$25=B12)*('Race Results'!$R$2:$R$25="Yes")*1),0),0)</f>
        <v>4</v>
      </c>
      <c r="G12" s="8" t="n">
        <f aca="false">IFERROR(IFERROR(COUNTIF('Sprint Results'!$E$2:$E$7,B12)*8+COUNTIF('Sprint Results'!$F$2:$F$7,B12)*7+COUNTIF('Sprint Results'!$G$2:$G$7,B12)*6+COUNTIF('Sprint Results'!$H$2:$H$7,B12)*5+COUNTIF('Sprint Results'!$I$2:$I$7,B12)*4+COUNTIF('Sprint Results'!$J$2:$J$7,B12)*3+COUNTIF('Sprint Results'!$K$2:$K$7,B12)*2+COUNTIF('Sprint Results'!$L$2:$L$7,B12)*1,0),0)</f>
        <v>0</v>
      </c>
      <c r="H12" s="8" t="n">
        <f aca="false">COUNTIF('Race Results'!$E$2:$E$25,B12)</f>
        <v>0</v>
      </c>
      <c r="I12" s="8" t="n">
        <f aca="false">COUNTIF('Race Results'!$G$2:$G$25,B12)</f>
        <v>0</v>
      </c>
      <c r="J12" s="8" t="n">
        <f aca="false">COUNTIF('Race Results'!$H$2:$H$25,B12)</f>
        <v>0</v>
      </c>
      <c r="K12" s="8" t="n">
        <f aca="false">H12+I12+J12</f>
        <v>0</v>
      </c>
      <c r="L12" s="8" t="n">
        <f aca="false">COUNTIF('Race Results'!$P$2:$P$25,B12)</f>
        <v>0</v>
      </c>
      <c r="M12" s="8" t="n">
        <f aca="false">COUNTIF('Race Results'!$Q$2:$Q$25,B12)</f>
        <v>0</v>
      </c>
      <c r="N12" s="8" t="n">
        <f aca="false">COUNTIF('Sprint Results'!$E$2:$E$7,B12)</f>
        <v>0</v>
      </c>
      <c r="O12" s="8" t="n">
        <f aca="false">MAX(E$2:E$23)-E12</f>
        <v>68</v>
      </c>
    </row>
    <row r="13" customFormat="false" ht="14.25" hidden="false" customHeight="true" outlineLevel="0" collapsed="false">
      <c r="A13" s="10" t="n">
        <f aca="false">RANK(E13,E$2:E$23,0)</f>
        <v>6</v>
      </c>
      <c r="B13" s="11" t="s">
        <v>68</v>
      </c>
      <c r="C13" s="11" t="str">
        <f aca="false">IFERROR(INDEX('Driver Bios'!$C$2:$C$23,MATCH(B13,'Driver Bios'!$B$2:$B$23,0)),"McLaren")</f>
        <v>McLaren</v>
      </c>
      <c r="D13" s="11" t="s">
        <v>135</v>
      </c>
      <c r="E13" s="10" t="n">
        <f aca="false">IFERROR(COUNTIF('Race Results'!$E$2:$E$25,B13)*25+COUNTIF('Race Results'!$G$2:$G$25,B13)*18+COUNTIF('Race Results'!$H$2:$H$25,B13)*15+COUNTIF('Race Results'!$I$2:$I$25,B13)*12+COUNTIF('Race Results'!$J$2:$J$25,B13)*10+COUNTIF('Race Results'!$K$2:$K$25,B13)*8+COUNTIF('Race Results'!$L$2:$L$25,B13)*6+COUNTIF('Race Results'!$M$2:$M$25,B13)*4+COUNTIF('Race Results'!$N$2:$N$25,B13)*2+COUNTIF('Race Results'!$O$2:$O$25,B13)*1+SUMPRODUCT(('Race Results'!$Q$2:$Q$25=B13)*('Race Results'!$R$2:$R$25="Yes")*1),0)+IFERROR(COUNTIF('Sprint Results'!$E$2:$E$7,B13)*8+COUNTIF('Sprint Results'!$F$2:$F$7,B13)*7+COUNTIF('Sprint Results'!$G$2:$G$7,B13)*6+COUNTIF('Sprint Results'!$H$2:$H$7,B13)*5+COUNTIF('Sprint Results'!$I$2:$I$7,B13)*4+COUNTIF('Sprint Results'!$J$2:$J$7,B13)*3+COUNTIF('Sprint Results'!$K$2:$K$7,B13)*2+COUNTIF('Sprint Results'!$L$2:$L$7,B13)*1,0)</f>
        <v>21</v>
      </c>
      <c r="F13" s="10" t="n">
        <f aca="false">IFERROR(IFERROR(COUNTIF('Race Results'!$E$2:$E$25,B13)*25+COUNTIF('Race Results'!$G$2:$G$25,B13)*18+COUNTIF('Race Results'!$H$2:$H$25,B13)*15+COUNTIF('Race Results'!$I$2:$I$25,B13)*12+COUNTIF('Race Results'!$J$2:$J$25,B13)*10+COUNTIF('Race Results'!$K$2:$K$25,B13)*8+COUNTIF('Race Results'!$L$2:$L$25,B13)*6+COUNTIF('Race Results'!$M$2:$M$25,B13)*4+COUNTIF('Race Results'!$N$2:$N$25,B13)*2+COUNTIF('Race Results'!$O$2:$O$25,B13)*1+SUMPRODUCT(('Race Results'!$Q$2:$Q$25=B13)*('Race Results'!$R$2:$R$25="Yes")*1),0),0)</f>
        <v>18</v>
      </c>
      <c r="G13" s="10" t="n">
        <f aca="false">IFERROR(IFERROR(COUNTIF('Sprint Results'!$E$2:$E$7,B13)*8+COUNTIF('Sprint Results'!$F$2:$F$7,B13)*7+COUNTIF('Sprint Results'!$G$2:$G$7,B13)*6+COUNTIF('Sprint Results'!$H$2:$H$7,B13)*5+COUNTIF('Sprint Results'!$I$2:$I$7,B13)*4+COUNTIF('Sprint Results'!$J$2:$J$7,B13)*3+COUNTIF('Sprint Results'!$K$2:$K$7,B13)*2+COUNTIF('Sprint Results'!$L$2:$L$7,B13)*1,0),0)</f>
        <v>3</v>
      </c>
      <c r="H13" s="10" t="n">
        <f aca="false">COUNTIF('Race Results'!$E$2:$E$25,B13)</f>
        <v>0</v>
      </c>
      <c r="I13" s="10" t="n">
        <f aca="false">COUNTIF('Race Results'!$G$2:$G$25,B13)</f>
        <v>1</v>
      </c>
      <c r="J13" s="10" t="n">
        <f aca="false">COUNTIF('Race Results'!$H$2:$H$25,B13)</f>
        <v>0</v>
      </c>
      <c r="K13" s="10" t="n">
        <f aca="false">H13+I13+J13</f>
        <v>1</v>
      </c>
      <c r="L13" s="10" t="n">
        <f aca="false">COUNTIF('Race Results'!$P$2:$P$25,B13)</f>
        <v>0</v>
      </c>
      <c r="M13" s="10" t="n">
        <f aca="false">COUNTIF('Race Results'!$Q$2:$Q$25,B13)</f>
        <v>0</v>
      </c>
      <c r="N13" s="10" t="n">
        <f aca="false">COUNTIF('Sprint Results'!$E$2:$E$7,B13)</f>
        <v>0</v>
      </c>
      <c r="O13" s="10" t="n">
        <f aca="false">MAX(E$2:E$23)-E13</f>
        <v>51</v>
      </c>
    </row>
    <row r="14" customFormat="false" ht="14.25" hidden="false" customHeight="true" outlineLevel="0" collapsed="false">
      <c r="A14" s="8" t="n">
        <f aca="false">RANK(E14,E$2:E$23,0)</f>
        <v>13</v>
      </c>
      <c r="B14" s="9" t="s">
        <v>63</v>
      </c>
      <c r="C14" s="9" t="str">
        <f aca="false">IFERROR(INDEX('Driver Bios'!$C$2:$C$23,MATCH(B14,'Driver Bios'!$B$2:$B$23,0)),"Williams")</f>
        <v>Williams</v>
      </c>
      <c r="D14" s="9" t="s">
        <v>136</v>
      </c>
      <c r="E14" s="8" t="n">
        <f aca="false">IFERROR(COUNTIF('Race Results'!$E$2:$E$25,B14)*25+COUNTIF('Race Results'!$G$2:$G$25,B14)*18+COUNTIF('Race Results'!$H$2:$H$25,B14)*15+COUNTIF('Race Results'!$I$2:$I$25,B14)*12+COUNTIF('Race Results'!$J$2:$J$25,B14)*10+COUNTIF('Race Results'!$K$2:$K$25,B14)*8+COUNTIF('Race Results'!$L$2:$L$25,B14)*6+COUNTIF('Race Results'!$M$2:$M$25,B14)*4+COUNTIF('Race Results'!$N$2:$N$25,B14)*2+COUNTIF('Race Results'!$O$2:$O$25,B14)*1+SUMPRODUCT(('Race Results'!$Q$2:$Q$25=B14)*('Race Results'!$R$2:$R$25="Yes")*1),0)+IFERROR(COUNTIF('Sprint Results'!$E$2:$E$7,B14)*8+COUNTIF('Sprint Results'!$F$2:$F$7,B14)*7+COUNTIF('Sprint Results'!$G$2:$G$7,B14)*6+COUNTIF('Sprint Results'!$H$2:$H$7,B14)*5+COUNTIF('Sprint Results'!$I$2:$I$7,B14)*4+COUNTIF('Sprint Results'!$J$2:$J$7,B14)*3+COUNTIF('Sprint Results'!$K$2:$K$7,B14)*2+COUNTIF('Sprint Results'!$L$2:$L$7,B14)*1,0)</f>
        <v>2</v>
      </c>
      <c r="F14" s="8" t="n">
        <f aca="false">IFERROR(IFERROR(COUNTIF('Race Results'!$E$2:$E$25,B14)*25+COUNTIF('Race Results'!$G$2:$G$25,B14)*18+COUNTIF('Race Results'!$H$2:$H$25,B14)*15+COUNTIF('Race Results'!$I$2:$I$25,B14)*12+COUNTIF('Race Results'!$J$2:$J$25,B14)*10+COUNTIF('Race Results'!$K$2:$K$25,B14)*8+COUNTIF('Race Results'!$L$2:$L$25,B14)*6+COUNTIF('Race Results'!$M$2:$M$25,B14)*4+COUNTIF('Race Results'!$N$2:$N$25,B14)*2+COUNTIF('Race Results'!$O$2:$O$25,B14)*1+SUMPRODUCT(('Race Results'!$Q$2:$Q$25=B14)*('Race Results'!$R$2:$R$25="Yes")*1),0),0)</f>
        <v>2</v>
      </c>
      <c r="G14" s="8" t="n">
        <f aca="false">IFERROR(IFERROR(COUNTIF('Sprint Results'!$E$2:$E$7,B14)*8+COUNTIF('Sprint Results'!$F$2:$F$7,B14)*7+COUNTIF('Sprint Results'!$G$2:$G$7,B14)*6+COUNTIF('Sprint Results'!$H$2:$H$7,B14)*5+COUNTIF('Sprint Results'!$I$2:$I$7,B14)*4+COUNTIF('Sprint Results'!$J$2:$J$7,B14)*3+COUNTIF('Sprint Results'!$K$2:$K$7,B14)*2+COUNTIF('Sprint Results'!$L$2:$L$7,B14)*1,0),0)</f>
        <v>0</v>
      </c>
      <c r="H14" s="8" t="n">
        <f aca="false">COUNTIF('Race Results'!$E$2:$E$25,B14)</f>
        <v>0</v>
      </c>
      <c r="I14" s="8" t="n">
        <f aca="false">COUNTIF('Race Results'!$G$2:$G$25,B14)</f>
        <v>0</v>
      </c>
      <c r="J14" s="8" t="n">
        <f aca="false">COUNTIF('Race Results'!$H$2:$H$25,B14)</f>
        <v>0</v>
      </c>
      <c r="K14" s="8" t="n">
        <f aca="false">H14+I14+J14</f>
        <v>0</v>
      </c>
      <c r="L14" s="8" t="n">
        <f aca="false">COUNTIF('Race Results'!$P$2:$P$25,B14)</f>
        <v>0</v>
      </c>
      <c r="M14" s="8" t="n">
        <f aca="false">COUNTIF('Race Results'!$Q$2:$Q$25,B14)</f>
        <v>0</v>
      </c>
      <c r="N14" s="8" t="n">
        <f aca="false">COUNTIF('Sprint Results'!$E$2:$E$7,B14)</f>
        <v>0</v>
      </c>
      <c r="O14" s="8" t="n">
        <f aca="false">MAX(E$2:E$23)-E14</f>
        <v>70</v>
      </c>
    </row>
    <row r="15" customFormat="false" ht="14.25" hidden="false" customHeight="true" outlineLevel="0" collapsed="false">
      <c r="A15" s="10" t="n">
        <f aca="false">RANK(E15,E$2:E$23,0)</f>
        <v>13</v>
      </c>
      <c r="B15" s="11" t="s">
        <v>56</v>
      </c>
      <c r="C15" s="11" t="str">
        <f aca="false">IFERROR(INDEX('Driver Bios'!$C$2:$C$23,MATCH(B15,'Driver Bios'!$B$2:$B$23,0)),"Audi")</f>
        <v>Audi</v>
      </c>
      <c r="D15" s="11" t="s">
        <v>137</v>
      </c>
      <c r="E15" s="10" t="n">
        <f aca="false">IFERROR(COUNTIF('Race Results'!$E$2:$E$25,B15)*25+COUNTIF('Race Results'!$G$2:$G$25,B15)*18+COUNTIF('Race Results'!$H$2:$H$25,B15)*15+COUNTIF('Race Results'!$I$2:$I$25,B15)*12+COUNTIF('Race Results'!$J$2:$J$25,B15)*10+COUNTIF('Race Results'!$K$2:$K$25,B15)*8+COUNTIF('Race Results'!$L$2:$L$25,B15)*6+COUNTIF('Race Results'!$M$2:$M$25,B15)*4+COUNTIF('Race Results'!$N$2:$N$25,B15)*2+COUNTIF('Race Results'!$O$2:$O$25,B15)*1+SUMPRODUCT(('Race Results'!$Q$2:$Q$25=B15)*('Race Results'!$R$2:$R$25="Yes")*1),0)+IFERROR(COUNTIF('Sprint Results'!$E$2:$E$7,B15)*8+COUNTIF('Sprint Results'!$F$2:$F$7,B15)*7+COUNTIF('Sprint Results'!$G$2:$G$7,B15)*6+COUNTIF('Sprint Results'!$H$2:$H$7,B15)*5+COUNTIF('Sprint Results'!$I$2:$I$7,B15)*4+COUNTIF('Sprint Results'!$J$2:$J$7,B15)*3+COUNTIF('Sprint Results'!$K$2:$K$7,B15)*2+COUNTIF('Sprint Results'!$L$2:$L$7,B15)*1,0)</f>
        <v>2</v>
      </c>
      <c r="F15" s="10" t="n">
        <f aca="false">IFERROR(IFERROR(COUNTIF('Race Results'!$E$2:$E$25,B15)*25+COUNTIF('Race Results'!$G$2:$G$25,B15)*18+COUNTIF('Race Results'!$H$2:$H$25,B15)*15+COUNTIF('Race Results'!$I$2:$I$25,B15)*12+COUNTIF('Race Results'!$J$2:$J$25,B15)*10+COUNTIF('Race Results'!$K$2:$K$25,B15)*8+COUNTIF('Race Results'!$L$2:$L$25,B15)*6+COUNTIF('Race Results'!$M$2:$M$25,B15)*4+COUNTIF('Race Results'!$N$2:$N$25,B15)*2+COUNTIF('Race Results'!$O$2:$O$25,B15)*1+SUMPRODUCT(('Race Results'!$Q$2:$Q$25=B15)*('Race Results'!$R$2:$R$25="Yes")*1),0),0)</f>
        <v>2</v>
      </c>
      <c r="G15" s="10" t="n">
        <f aca="false">IFERROR(IFERROR(COUNTIF('Sprint Results'!$E$2:$E$7,B15)*8+COUNTIF('Sprint Results'!$F$2:$F$7,B15)*7+COUNTIF('Sprint Results'!$G$2:$G$7,B15)*6+COUNTIF('Sprint Results'!$H$2:$H$7,B15)*5+COUNTIF('Sprint Results'!$I$2:$I$7,B15)*4+COUNTIF('Sprint Results'!$J$2:$J$7,B15)*3+COUNTIF('Sprint Results'!$K$2:$K$7,B15)*2+COUNTIF('Sprint Results'!$L$2:$L$7,B15)*1,0),0)</f>
        <v>0</v>
      </c>
      <c r="H15" s="10" t="n">
        <f aca="false">COUNTIF('Race Results'!$E$2:$E$25,B15)</f>
        <v>0</v>
      </c>
      <c r="I15" s="10" t="n">
        <f aca="false">COUNTIF('Race Results'!$G$2:$G$25,B15)</f>
        <v>0</v>
      </c>
      <c r="J15" s="10" t="n">
        <f aca="false">COUNTIF('Race Results'!$H$2:$H$25,B15)</f>
        <v>0</v>
      </c>
      <c r="K15" s="10" t="n">
        <f aca="false">H15+I15+J15</f>
        <v>0</v>
      </c>
      <c r="L15" s="10" t="n">
        <f aca="false">COUNTIF('Race Results'!$P$2:$P$25,B15)</f>
        <v>0</v>
      </c>
      <c r="M15" s="10" t="n">
        <f aca="false">COUNTIF('Race Results'!$Q$2:$Q$25,B15)</f>
        <v>0</v>
      </c>
      <c r="N15" s="10" t="n">
        <f aca="false">COUNTIF('Sprint Results'!$E$2:$E$7,B15)</f>
        <v>0</v>
      </c>
      <c r="O15" s="10" t="n">
        <f aca="false">MAX(E$2:E$23)-E15</f>
        <v>70</v>
      </c>
    </row>
    <row r="16" customFormat="false" ht="14.25" hidden="false" customHeight="true" outlineLevel="0" collapsed="false">
      <c r="A16" s="8" t="n">
        <f aca="false">RANK(E16,E$2:E$23,0)</f>
        <v>15</v>
      </c>
      <c r="B16" s="9" t="s">
        <v>64</v>
      </c>
      <c r="C16" s="9" t="str">
        <f aca="false">IFERROR(INDEX('Driver Bios'!$C$2:$C$23,MATCH(B16,'Driver Bios'!$B$2:$B$23,0)),"Alpine")</f>
        <v>Alpine</v>
      </c>
      <c r="D16" s="9" t="s">
        <v>138</v>
      </c>
      <c r="E16" s="8" t="n">
        <f aca="false">IFERROR(COUNTIF('Race Results'!$E$2:$E$25,B16)*25+COUNTIF('Race Results'!$G$2:$G$25,B16)*18+COUNTIF('Race Results'!$H$2:$H$25,B16)*15+COUNTIF('Race Results'!$I$2:$I$25,B16)*12+COUNTIF('Race Results'!$J$2:$J$25,B16)*10+COUNTIF('Race Results'!$K$2:$K$25,B16)*8+COUNTIF('Race Results'!$L$2:$L$25,B16)*6+COUNTIF('Race Results'!$M$2:$M$25,B16)*4+COUNTIF('Race Results'!$N$2:$N$25,B16)*2+COUNTIF('Race Results'!$O$2:$O$25,B16)*1+SUMPRODUCT(('Race Results'!$Q$2:$Q$25=B16)*('Race Results'!$R$2:$R$25="Yes")*1),0)+IFERROR(COUNTIF('Sprint Results'!$E$2:$E$7,B16)*8+COUNTIF('Sprint Results'!$F$2:$F$7,B16)*7+COUNTIF('Sprint Results'!$G$2:$G$7,B16)*6+COUNTIF('Sprint Results'!$H$2:$H$7,B16)*5+COUNTIF('Sprint Results'!$I$2:$I$7,B16)*4+COUNTIF('Sprint Results'!$J$2:$J$7,B16)*3+COUNTIF('Sprint Results'!$K$2:$K$7,B16)*2+COUNTIF('Sprint Results'!$L$2:$L$7,B16)*1,0)</f>
        <v>1</v>
      </c>
      <c r="F16" s="8" t="n">
        <f aca="false">IFERROR(IFERROR(COUNTIF('Race Results'!$E$2:$E$25,B16)*25+COUNTIF('Race Results'!$G$2:$G$25,B16)*18+COUNTIF('Race Results'!$H$2:$H$25,B16)*15+COUNTIF('Race Results'!$I$2:$I$25,B16)*12+COUNTIF('Race Results'!$J$2:$J$25,B16)*10+COUNTIF('Race Results'!$K$2:$K$25,B16)*8+COUNTIF('Race Results'!$L$2:$L$25,B16)*6+COUNTIF('Race Results'!$M$2:$M$25,B16)*4+COUNTIF('Race Results'!$N$2:$N$25,B16)*2+COUNTIF('Race Results'!$O$2:$O$25,B16)*1+SUMPRODUCT(('Race Results'!$Q$2:$Q$25=B16)*('Race Results'!$R$2:$R$25="Yes")*1),0),0)</f>
        <v>1</v>
      </c>
      <c r="G16" s="8" t="n">
        <f aca="false">IFERROR(IFERROR(COUNTIF('Sprint Results'!$E$2:$E$7,B16)*8+COUNTIF('Sprint Results'!$F$2:$F$7,B16)*7+COUNTIF('Sprint Results'!$G$2:$G$7,B16)*6+COUNTIF('Sprint Results'!$H$2:$H$7,B16)*5+COUNTIF('Sprint Results'!$I$2:$I$7,B16)*4+COUNTIF('Sprint Results'!$J$2:$J$7,B16)*3+COUNTIF('Sprint Results'!$K$2:$K$7,B16)*2+COUNTIF('Sprint Results'!$L$2:$L$7,B16)*1,0),0)</f>
        <v>0</v>
      </c>
      <c r="H16" s="8" t="n">
        <f aca="false">COUNTIF('Race Results'!$E$2:$E$25,B16)</f>
        <v>0</v>
      </c>
      <c r="I16" s="8" t="n">
        <f aca="false">COUNTIF('Race Results'!$G$2:$G$25,B16)</f>
        <v>0</v>
      </c>
      <c r="J16" s="8" t="n">
        <f aca="false">COUNTIF('Race Results'!$H$2:$H$25,B16)</f>
        <v>0</v>
      </c>
      <c r="K16" s="8" t="n">
        <f aca="false">H16+I16+J16</f>
        <v>0</v>
      </c>
      <c r="L16" s="8" t="n">
        <f aca="false">COUNTIF('Race Results'!$P$2:$P$25,B16)</f>
        <v>0</v>
      </c>
      <c r="M16" s="8" t="n">
        <f aca="false">COUNTIF('Race Results'!$Q$2:$Q$25,B16)</f>
        <v>0</v>
      </c>
      <c r="N16" s="8" t="n">
        <f aca="false">COUNTIF('Sprint Results'!$E$2:$E$7,B16)</f>
        <v>0</v>
      </c>
      <c r="O16" s="8" t="n">
        <f aca="false">MAX(E$2:E$23)-E16</f>
        <v>71</v>
      </c>
    </row>
    <row r="17" customFormat="false" ht="14.25" hidden="false" customHeight="true" outlineLevel="0" collapsed="false">
      <c r="A17" s="10" t="n">
        <f aca="false">RANK(E17,E$2:E$23,0)</f>
        <v>17</v>
      </c>
      <c r="B17" s="11" t="s">
        <v>111</v>
      </c>
      <c r="C17" s="11" t="str">
        <f aca="false">IFERROR(INDEX('Driver Bios'!$C$2:$C$23,MATCH(B17,'Driver Bios'!$B$2:$B$23,0)),"Aston Martin")</f>
        <v>Aston Martin</v>
      </c>
      <c r="D17" s="11" t="s">
        <v>136</v>
      </c>
      <c r="E17" s="10" t="n">
        <f aca="false">IFERROR(COUNTIF('Race Results'!$E$2:$E$25,B17)*25+COUNTIF('Race Results'!$G$2:$G$25,B17)*18+COUNTIF('Race Results'!$H$2:$H$25,B17)*15+COUNTIF('Race Results'!$I$2:$I$25,B17)*12+COUNTIF('Race Results'!$J$2:$J$25,B17)*10+COUNTIF('Race Results'!$K$2:$K$25,B17)*8+COUNTIF('Race Results'!$L$2:$L$25,B17)*6+COUNTIF('Race Results'!$M$2:$M$25,B17)*4+COUNTIF('Race Results'!$N$2:$N$25,B17)*2+COUNTIF('Race Results'!$O$2:$O$25,B17)*1+SUMPRODUCT(('Race Results'!$Q$2:$Q$25=B17)*('Race Results'!$R$2:$R$25="Yes")*1),0)+IFERROR(COUNTIF('Sprint Results'!$E$2:$E$7,B17)*8+COUNTIF('Sprint Results'!$F$2:$F$7,B17)*7+COUNTIF('Sprint Results'!$G$2:$G$7,B17)*6+COUNTIF('Sprint Results'!$H$2:$H$7,B17)*5+COUNTIF('Sprint Results'!$I$2:$I$7,B17)*4+COUNTIF('Sprint Results'!$J$2:$J$7,B17)*3+COUNTIF('Sprint Results'!$K$2:$K$7,B17)*2+COUNTIF('Sprint Results'!$L$2:$L$7,B17)*1,0)</f>
        <v>0</v>
      </c>
      <c r="F17" s="10" t="n">
        <f aca="false">IFERROR(IFERROR(COUNTIF('Race Results'!$E$2:$E$25,B17)*25+COUNTIF('Race Results'!$G$2:$G$25,B17)*18+COUNTIF('Race Results'!$H$2:$H$25,B17)*15+COUNTIF('Race Results'!$I$2:$I$25,B17)*12+COUNTIF('Race Results'!$J$2:$J$25,B17)*10+COUNTIF('Race Results'!$K$2:$K$25,B17)*8+COUNTIF('Race Results'!$L$2:$L$25,B17)*6+COUNTIF('Race Results'!$M$2:$M$25,B17)*4+COUNTIF('Race Results'!$N$2:$N$25,B17)*2+COUNTIF('Race Results'!$O$2:$O$25,B17)*1+SUMPRODUCT(('Race Results'!$Q$2:$Q$25=B17)*('Race Results'!$R$2:$R$25="Yes")*1),0),0)</f>
        <v>0</v>
      </c>
      <c r="G17" s="10" t="n">
        <f aca="false">IFERROR(IFERROR(COUNTIF('Sprint Results'!$E$2:$E$7,B17)*8+COUNTIF('Sprint Results'!$F$2:$F$7,B17)*7+COUNTIF('Sprint Results'!$G$2:$G$7,B17)*6+COUNTIF('Sprint Results'!$H$2:$H$7,B17)*5+COUNTIF('Sprint Results'!$I$2:$I$7,B17)*4+COUNTIF('Sprint Results'!$J$2:$J$7,B17)*3+COUNTIF('Sprint Results'!$K$2:$K$7,B17)*2+COUNTIF('Sprint Results'!$L$2:$L$7,B17)*1,0),0)</f>
        <v>0</v>
      </c>
      <c r="H17" s="10" t="n">
        <f aca="false">COUNTIF('Race Results'!$E$2:$E$25,B17)</f>
        <v>0</v>
      </c>
      <c r="I17" s="10" t="n">
        <f aca="false">COUNTIF('Race Results'!$G$2:$G$25,B17)</f>
        <v>0</v>
      </c>
      <c r="J17" s="10" t="n">
        <f aca="false">COUNTIF('Race Results'!$H$2:$H$25,B17)</f>
        <v>0</v>
      </c>
      <c r="K17" s="10" t="n">
        <f aca="false">H17+I17+J17</f>
        <v>0</v>
      </c>
      <c r="L17" s="10" t="n">
        <f aca="false">COUNTIF('Race Results'!$P$2:$P$25,B17)</f>
        <v>0</v>
      </c>
      <c r="M17" s="10" t="n">
        <f aca="false">COUNTIF('Race Results'!$Q$2:$Q$25,B17)</f>
        <v>0</v>
      </c>
      <c r="N17" s="10" t="n">
        <f aca="false">COUNTIF('Sprint Results'!$E$2:$E$7,B17)</f>
        <v>0</v>
      </c>
      <c r="O17" s="10" t="n">
        <f aca="false">MAX(E$2:E$23)-E17</f>
        <v>72</v>
      </c>
    </row>
    <row r="18" customFormat="false" ht="14.25" hidden="false" customHeight="true" outlineLevel="0" collapsed="false">
      <c r="A18" s="8" t="n">
        <f aca="false">RANK(E18,E$2:E$23,0)</f>
        <v>17</v>
      </c>
      <c r="B18" s="9" t="s">
        <v>113</v>
      </c>
      <c r="C18" s="9" t="str">
        <f aca="false">IFERROR(INDEX('Driver Bios'!$C$2:$C$23,MATCH(B18,'Driver Bios'!$B$2:$B$23,0)),"Aston Martin")</f>
        <v>Aston Martin</v>
      </c>
      <c r="D18" s="9" t="s">
        <v>139</v>
      </c>
      <c r="E18" s="8" t="n">
        <f aca="false">IFERROR(COUNTIF('Race Results'!$E$2:$E$25,B18)*25+COUNTIF('Race Results'!$G$2:$G$25,B18)*18+COUNTIF('Race Results'!$H$2:$H$25,B18)*15+COUNTIF('Race Results'!$I$2:$I$25,B18)*12+COUNTIF('Race Results'!$J$2:$J$25,B18)*10+COUNTIF('Race Results'!$K$2:$K$25,B18)*8+COUNTIF('Race Results'!$L$2:$L$25,B18)*6+COUNTIF('Race Results'!$M$2:$M$25,B18)*4+COUNTIF('Race Results'!$N$2:$N$25,B18)*2+COUNTIF('Race Results'!$O$2:$O$25,B18)*1+SUMPRODUCT(('Race Results'!$Q$2:$Q$25=B18)*('Race Results'!$R$2:$R$25="Yes")*1),0)+IFERROR(COUNTIF('Sprint Results'!$E$2:$E$7,B18)*8+COUNTIF('Sprint Results'!$F$2:$F$7,B18)*7+COUNTIF('Sprint Results'!$G$2:$G$7,B18)*6+COUNTIF('Sprint Results'!$H$2:$H$7,B18)*5+COUNTIF('Sprint Results'!$I$2:$I$7,B18)*4+COUNTIF('Sprint Results'!$J$2:$J$7,B18)*3+COUNTIF('Sprint Results'!$K$2:$K$7,B18)*2+COUNTIF('Sprint Results'!$L$2:$L$7,B18)*1,0)</f>
        <v>0</v>
      </c>
      <c r="F18" s="8" t="n">
        <f aca="false">IFERROR(IFERROR(COUNTIF('Race Results'!$E$2:$E$25,B18)*25+COUNTIF('Race Results'!$G$2:$G$25,B18)*18+COUNTIF('Race Results'!$H$2:$H$25,B18)*15+COUNTIF('Race Results'!$I$2:$I$25,B18)*12+COUNTIF('Race Results'!$J$2:$J$25,B18)*10+COUNTIF('Race Results'!$K$2:$K$25,B18)*8+COUNTIF('Race Results'!$L$2:$L$25,B18)*6+COUNTIF('Race Results'!$M$2:$M$25,B18)*4+COUNTIF('Race Results'!$N$2:$N$25,B18)*2+COUNTIF('Race Results'!$O$2:$O$25,B18)*1+SUMPRODUCT(('Race Results'!$Q$2:$Q$25=B18)*('Race Results'!$R$2:$R$25="Yes")*1),0),0)</f>
        <v>0</v>
      </c>
      <c r="G18" s="8" t="n">
        <f aca="false">IFERROR(IFERROR(COUNTIF('Sprint Results'!$E$2:$E$7,B18)*8+COUNTIF('Sprint Results'!$F$2:$F$7,B18)*7+COUNTIF('Sprint Results'!$G$2:$G$7,B18)*6+COUNTIF('Sprint Results'!$H$2:$H$7,B18)*5+COUNTIF('Sprint Results'!$I$2:$I$7,B18)*4+COUNTIF('Sprint Results'!$J$2:$J$7,B18)*3+COUNTIF('Sprint Results'!$K$2:$K$7,B18)*2+COUNTIF('Sprint Results'!$L$2:$L$7,B18)*1,0),0)</f>
        <v>0</v>
      </c>
      <c r="H18" s="8" t="n">
        <f aca="false">COUNTIF('Race Results'!$E$2:$E$25,B18)</f>
        <v>0</v>
      </c>
      <c r="I18" s="8" t="n">
        <f aca="false">COUNTIF('Race Results'!$G$2:$G$25,B18)</f>
        <v>0</v>
      </c>
      <c r="J18" s="8" t="n">
        <f aca="false">COUNTIF('Race Results'!$H$2:$H$25,B18)</f>
        <v>0</v>
      </c>
      <c r="K18" s="8" t="n">
        <f aca="false">H18+I18+J18</f>
        <v>0</v>
      </c>
      <c r="L18" s="8" t="n">
        <f aca="false">COUNTIF('Race Results'!$P$2:$P$25,B18)</f>
        <v>0</v>
      </c>
      <c r="M18" s="8" t="n">
        <f aca="false">COUNTIF('Race Results'!$Q$2:$Q$25,B18)</f>
        <v>0</v>
      </c>
      <c r="N18" s="8" t="n">
        <f aca="false">COUNTIF('Sprint Results'!$E$2:$E$7,B18)</f>
        <v>0</v>
      </c>
      <c r="O18" s="8" t="n">
        <f aca="false">MAX(E$2:E$23)-E18</f>
        <v>72</v>
      </c>
    </row>
    <row r="19" customFormat="false" ht="14.25" hidden="false" customHeight="true" outlineLevel="0" collapsed="false">
      <c r="A19" s="10" t="n">
        <f aca="false">RANK(E19,E$2:E$23,0)</f>
        <v>17</v>
      </c>
      <c r="B19" s="11" t="s">
        <v>114</v>
      </c>
      <c r="C19" s="11" t="str">
        <f aca="false">IFERROR(INDEX('Driver Bios'!$C$2:$C$23,MATCH(B19,'Driver Bios'!$B$2:$B$23,0)),"Williams")</f>
        <v>Williams</v>
      </c>
      <c r="D19" s="11" t="s">
        <v>140</v>
      </c>
      <c r="E19" s="10" t="n">
        <f aca="false">IFERROR(COUNTIF('Race Results'!$E$2:$E$25,B19)*25+COUNTIF('Race Results'!$G$2:$G$25,B19)*18+COUNTIF('Race Results'!$H$2:$H$25,B19)*15+COUNTIF('Race Results'!$I$2:$I$25,B19)*12+COUNTIF('Race Results'!$J$2:$J$25,B19)*10+COUNTIF('Race Results'!$K$2:$K$25,B19)*8+COUNTIF('Race Results'!$L$2:$L$25,B19)*6+COUNTIF('Race Results'!$M$2:$M$25,B19)*4+COUNTIF('Race Results'!$N$2:$N$25,B19)*2+COUNTIF('Race Results'!$O$2:$O$25,B19)*1+SUMPRODUCT(('Race Results'!$Q$2:$Q$25=B19)*('Race Results'!$R$2:$R$25="Yes")*1),0)+IFERROR(COUNTIF('Sprint Results'!$E$2:$E$7,B19)*8+COUNTIF('Sprint Results'!$F$2:$F$7,B19)*7+COUNTIF('Sprint Results'!$G$2:$G$7,B19)*6+COUNTIF('Sprint Results'!$H$2:$H$7,B19)*5+COUNTIF('Sprint Results'!$I$2:$I$7,B19)*4+COUNTIF('Sprint Results'!$J$2:$J$7,B19)*3+COUNTIF('Sprint Results'!$K$2:$K$7,B19)*2+COUNTIF('Sprint Results'!$L$2:$L$7,B19)*1,0)</f>
        <v>0</v>
      </c>
      <c r="F19" s="10" t="n">
        <f aca="false">IFERROR(IFERROR(COUNTIF('Race Results'!$E$2:$E$25,B19)*25+COUNTIF('Race Results'!$G$2:$G$25,B19)*18+COUNTIF('Race Results'!$H$2:$H$25,B19)*15+COUNTIF('Race Results'!$I$2:$I$25,B19)*12+COUNTIF('Race Results'!$J$2:$J$25,B19)*10+COUNTIF('Race Results'!$K$2:$K$25,B19)*8+COUNTIF('Race Results'!$L$2:$L$25,B19)*6+COUNTIF('Race Results'!$M$2:$M$25,B19)*4+COUNTIF('Race Results'!$N$2:$N$25,B19)*2+COUNTIF('Race Results'!$O$2:$O$25,B19)*1+SUMPRODUCT(('Race Results'!$Q$2:$Q$25=B19)*('Race Results'!$R$2:$R$25="Yes")*1),0),0)</f>
        <v>0</v>
      </c>
      <c r="G19" s="10" t="n">
        <f aca="false">IFERROR(IFERROR(COUNTIF('Sprint Results'!$E$2:$E$7,B19)*8+COUNTIF('Sprint Results'!$F$2:$F$7,B19)*7+COUNTIF('Sprint Results'!$G$2:$G$7,B19)*6+COUNTIF('Sprint Results'!$H$2:$H$7,B19)*5+COUNTIF('Sprint Results'!$I$2:$I$7,B19)*4+COUNTIF('Sprint Results'!$J$2:$J$7,B19)*3+COUNTIF('Sprint Results'!$K$2:$K$7,B19)*2+COUNTIF('Sprint Results'!$L$2:$L$7,B19)*1,0),0)</f>
        <v>0</v>
      </c>
      <c r="H19" s="10" t="n">
        <f aca="false">COUNTIF('Race Results'!$E$2:$E$25,B19)</f>
        <v>0</v>
      </c>
      <c r="I19" s="10" t="n">
        <f aca="false">COUNTIF('Race Results'!$G$2:$G$25,B19)</f>
        <v>0</v>
      </c>
      <c r="J19" s="10" t="n">
        <f aca="false">COUNTIF('Race Results'!$H$2:$H$25,B19)</f>
        <v>0</v>
      </c>
      <c r="K19" s="10" t="n">
        <f aca="false">H19+I19+J19</f>
        <v>0</v>
      </c>
      <c r="L19" s="10" t="n">
        <f aca="false">COUNTIF('Race Results'!$P$2:$P$25,B19)</f>
        <v>0</v>
      </c>
      <c r="M19" s="10" t="n">
        <f aca="false">COUNTIF('Race Results'!$Q$2:$Q$25,B19)</f>
        <v>0</v>
      </c>
      <c r="N19" s="10" t="n">
        <f aca="false">COUNTIF('Sprint Results'!$E$2:$E$7,B19)</f>
        <v>0</v>
      </c>
      <c r="O19" s="10" t="n">
        <f aca="false">MAX(E$2:E$23)-E19</f>
        <v>72</v>
      </c>
    </row>
    <row r="20" customFormat="false" ht="14.25" hidden="false" customHeight="true" outlineLevel="0" collapsed="false">
      <c r="A20" s="8" t="n">
        <f aca="false">RANK(E20,E$2:E$23,0)</f>
        <v>15</v>
      </c>
      <c r="B20" s="9" t="s">
        <v>69</v>
      </c>
      <c r="C20" s="9" t="str">
        <f aca="false">IFERROR(INDEX('Driver Bios'!$C$2:$C$23,MATCH(B20,'Driver Bios'!$B$2:$B$23,0)),"Haas")</f>
        <v>Haas</v>
      </c>
      <c r="D20" s="9" t="s">
        <v>132</v>
      </c>
      <c r="E20" s="8" t="n">
        <f aca="false">IFERROR(COUNTIF('Race Results'!$E$2:$E$25,B20)*25+COUNTIF('Race Results'!$G$2:$G$25,B20)*18+COUNTIF('Race Results'!$H$2:$H$25,B20)*15+COUNTIF('Race Results'!$I$2:$I$25,B20)*12+COUNTIF('Race Results'!$J$2:$J$25,B20)*10+COUNTIF('Race Results'!$K$2:$K$25,B20)*8+COUNTIF('Race Results'!$L$2:$L$25,B20)*6+COUNTIF('Race Results'!$M$2:$M$25,B20)*4+COUNTIF('Race Results'!$N$2:$N$25,B20)*2+COUNTIF('Race Results'!$O$2:$O$25,B20)*1+SUMPRODUCT(('Race Results'!$Q$2:$Q$25=B20)*('Race Results'!$R$2:$R$25="Yes")*1),0)+IFERROR(COUNTIF('Sprint Results'!$E$2:$E$7,B20)*8+COUNTIF('Sprint Results'!$F$2:$F$7,B20)*7+COUNTIF('Sprint Results'!$G$2:$G$7,B20)*6+COUNTIF('Sprint Results'!$H$2:$H$7,B20)*5+COUNTIF('Sprint Results'!$I$2:$I$7,B20)*4+COUNTIF('Sprint Results'!$J$2:$J$7,B20)*3+COUNTIF('Sprint Results'!$K$2:$K$7,B20)*2+COUNTIF('Sprint Results'!$L$2:$L$7,B20)*1,0)</f>
        <v>1</v>
      </c>
      <c r="F20" s="8" t="n">
        <f aca="false">IFERROR(IFERROR(COUNTIF('Race Results'!$E$2:$E$25,B20)*25+COUNTIF('Race Results'!$G$2:$G$25,B20)*18+COUNTIF('Race Results'!$H$2:$H$25,B20)*15+COUNTIF('Race Results'!$I$2:$I$25,B20)*12+COUNTIF('Race Results'!$J$2:$J$25,B20)*10+COUNTIF('Race Results'!$K$2:$K$25,B20)*8+COUNTIF('Race Results'!$L$2:$L$25,B20)*6+COUNTIF('Race Results'!$M$2:$M$25,B20)*4+COUNTIF('Race Results'!$N$2:$N$25,B20)*2+COUNTIF('Race Results'!$O$2:$O$25,B20)*1+SUMPRODUCT(('Race Results'!$Q$2:$Q$25=B20)*('Race Results'!$R$2:$R$25="Yes")*1),0),0)</f>
        <v>1</v>
      </c>
      <c r="G20" s="8" t="n">
        <f aca="false">IFERROR(IFERROR(COUNTIF('Sprint Results'!$E$2:$E$7,B20)*8+COUNTIF('Sprint Results'!$F$2:$F$7,B20)*7+COUNTIF('Sprint Results'!$G$2:$G$7,B20)*6+COUNTIF('Sprint Results'!$H$2:$H$7,B20)*5+COUNTIF('Sprint Results'!$I$2:$I$7,B20)*4+COUNTIF('Sprint Results'!$J$2:$J$7,B20)*3+COUNTIF('Sprint Results'!$K$2:$K$7,B20)*2+COUNTIF('Sprint Results'!$L$2:$L$7,B20)*1,0),0)</f>
        <v>0</v>
      </c>
      <c r="H20" s="8" t="n">
        <f aca="false">COUNTIF('Race Results'!$E$2:$E$25,B20)</f>
        <v>0</v>
      </c>
      <c r="I20" s="8" t="n">
        <f aca="false">COUNTIF('Race Results'!$G$2:$G$25,B20)</f>
        <v>0</v>
      </c>
      <c r="J20" s="8" t="n">
        <f aca="false">COUNTIF('Race Results'!$H$2:$H$25,B20)</f>
        <v>0</v>
      </c>
      <c r="K20" s="8" t="n">
        <f aca="false">H20+I20+J20</f>
        <v>0</v>
      </c>
      <c r="L20" s="8" t="n">
        <f aca="false">COUNTIF('Race Results'!$P$2:$P$25,B20)</f>
        <v>0</v>
      </c>
      <c r="M20" s="8" t="n">
        <f aca="false">COUNTIF('Race Results'!$Q$2:$Q$25,B20)</f>
        <v>0</v>
      </c>
      <c r="N20" s="8" t="n">
        <f aca="false">COUNTIF('Sprint Results'!$E$2:$E$7,B20)</f>
        <v>0</v>
      </c>
      <c r="O20" s="8" t="n">
        <f aca="false">MAX(E$2:E$23)-E20</f>
        <v>71</v>
      </c>
    </row>
    <row r="21" customFormat="false" ht="14.25" hidden="false" customHeight="true" outlineLevel="0" collapsed="false">
      <c r="A21" s="10" t="n">
        <f aca="false">RANK(E21,E$2:E$23,0)</f>
        <v>17</v>
      </c>
      <c r="B21" s="11" t="s">
        <v>115</v>
      </c>
      <c r="C21" s="11" t="str">
        <f aca="false">IFERROR(INDEX('Driver Bios'!$C$2:$C$23,MATCH(B21,'Driver Bios'!$B$2:$B$23,0)),"Audi")</f>
        <v>Audi</v>
      </c>
      <c r="D21" s="11" t="s">
        <v>141</v>
      </c>
      <c r="E21" s="10" t="n">
        <f aca="false">IFERROR(COUNTIF('Race Results'!$E$2:$E$25,B21)*25+COUNTIF('Race Results'!$G$2:$G$25,B21)*18+COUNTIF('Race Results'!$H$2:$H$25,B21)*15+COUNTIF('Race Results'!$I$2:$I$25,B21)*12+COUNTIF('Race Results'!$J$2:$J$25,B21)*10+COUNTIF('Race Results'!$K$2:$K$25,B21)*8+COUNTIF('Race Results'!$L$2:$L$25,B21)*6+COUNTIF('Race Results'!$M$2:$M$25,B21)*4+COUNTIF('Race Results'!$N$2:$N$25,B21)*2+COUNTIF('Race Results'!$O$2:$O$25,B21)*1+SUMPRODUCT(('Race Results'!$Q$2:$Q$25=B21)*('Race Results'!$R$2:$R$25="Yes")*1),0)+IFERROR(COUNTIF('Sprint Results'!$E$2:$E$7,B21)*8+COUNTIF('Sprint Results'!$F$2:$F$7,B21)*7+COUNTIF('Sprint Results'!$G$2:$G$7,B21)*6+COUNTIF('Sprint Results'!$H$2:$H$7,B21)*5+COUNTIF('Sprint Results'!$I$2:$I$7,B21)*4+COUNTIF('Sprint Results'!$J$2:$J$7,B21)*3+COUNTIF('Sprint Results'!$K$2:$K$7,B21)*2+COUNTIF('Sprint Results'!$L$2:$L$7,B21)*1,0)</f>
        <v>0</v>
      </c>
      <c r="F21" s="10" t="n">
        <f aca="false">IFERROR(IFERROR(COUNTIF('Race Results'!$E$2:$E$25,B21)*25+COUNTIF('Race Results'!$G$2:$G$25,B21)*18+COUNTIF('Race Results'!$H$2:$H$25,B21)*15+COUNTIF('Race Results'!$I$2:$I$25,B21)*12+COUNTIF('Race Results'!$J$2:$J$25,B21)*10+COUNTIF('Race Results'!$K$2:$K$25,B21)*8+COUNTIF('Race Results'!$L$2:$L$25,B21)*6+COUNTIF('Race Results'!$M$2:$M$25,B21)*4+COUNTIF('Race Results'!$N$2:$N$25,B21)*2+COUNTIF('Race Results'!$O$2:$O$25,B21)*1+SUMPRODUCT(('Race Results'!$Q$2:$Q$25=B21)*('Race Results'!$R$2:$R$25="Yes")*1),0),0)</f>
        <v>0</v>
      </c>
      <c r="G21" s="10" t="n">
        <f aca="false">IFERROR(IFERROR(COUNTIF('Sprint Results'!$E$2:$E$7,B21)*8+COUNTIF('Sprint Results'!$F$2:$F$7,B21)*7+COUNTIF('Sprint Results'!$G$2:$G$7,B21)*6+COUNTIF('Sprint Results'!$H$2:$H$7,B21)*5+COUNTIF('Sprint Results'!$I$2:$I$7,B21)*4+COUNTIF('Sprint Results'!$J$2:$J$7,B21)*3+COUNTIF('Sprint Results'!$K$2:$K$7,B21)*2+COUNTIF('Sprint Results'!$L$2:$L$7,B21)*1,0),0)</f>
        <v>0</v>
      </c>
      <c r="H21" s="10" t="n">
        <f aca="false">COUNTIF('Race Results'!$E$2:$E$25,B21)</f>
        <v>0</v>
      </c>
      <c r="I21" s="10" t="n">
        <f aca="false">COUNTIF('Race Results'!$G$2:$G$25,B21)</f>
        <v>0</v>
      </c>
      <c r="J21" s="10" t="n">
        <f aca="false">COUNTIF('Race Results'!$H$2:$H$25,B21)</f>
        <v>0</v>
      </c>
      <c r="K21" s="10" t="n">
        <f aca="false">H21+I21+J21</f>
        <v>0</v>
      </c>
      <c r="L21" s="10" t="n">
        <f aca="false">COUNTIF('Race Results'!$P$2:$P$25,B21)</f>
        <v>0</v>
      </c>
      <c r="M21" s="10" t="n">
        <f aca="false">COUNTIF('Race Results'!$Q$2:$Q$25,B21)</f>
        <v>0</v>
      </c>
      <c r="N21" s="10" t="n">
        <f aca="false">COUNTIF('Sprint Results'!$E$2:$E$7,B21)</f>
        <v>0</v>
      </c>
      <c r="O21" s="10" t="n">
        <f aca="false">MAX(E$2:E$23)-E21</f>
        <v>72</v>
      </c>
    </row>
    <row r="22" customFormat="false" ht="14.25" hidden="false" customHeight="true" outlineLevel="0" collapsed="false">
      <c r="A22" s="8" t="n">
        <f aca="false">RANK(E22,E$2:E$23,0)</f>
        <v>17</v>
      </c>
      <c r="B22" s="9" t="s">
        <v>116</v>
      </c>
      <c r="C22" s="9" t="str">
        <f aca="false">IFERROR(INDEX('Driver Bios'!$C$2:$C$23,MATCH(B22,'Driver Bios'!$B$2:$B$23,0)),"Cadillac")</f>
        <v>Cadillac</v>
      </c>
      <c r="D22" s="9" t="s">
        <v>142</v>
      </c>
      <c r="E22" s="8" t="n">
        <f aca="false">IFERROR(COUNTIF('Race Results'!$E$2:$E$25,B22)*25+COUNTIF('Race Results'!$G$2:$G$25,B22)*18+COUNTIF('Race Results'!$H$2:$H$25,B22)*15+COUNTIF('Race Results'!$I$2:$I$25,B22)*12+COUNTIF('Race Results'!$J$2:$J$25,B22)*10+COUNTIF('Race Results'!$K$2:$K$25,B22)*8+COUNTIF('Race Results'!$L$2:$L$25,B22)*6+COUNTIF('Race Results'!$M$2:$M$25,B22)*4+COUNTIF('Race Results'!$N$2:$N$25,B22)*2+COUNTIF('Race Results'!$O$2:$O$25,B22)*1+SUMPRODUCT(('Race Results'!$Q$2:$Q$25=B22)*('Race Results'!$R$2:$R$25="Yes")*1),0)+IFERROR(COUNTIF('Sprint Results'!$E$2:$E$7,B22)*8+COUNTIF('Sprint Results'!$F$2:$F$7,B22)*7+COUNTIF('Sprint Results'!$G$2:$G$7,B22)*6+COUNTIF('Sprint Results'!$H$2:$H$7,B22)*5+COUNTIF('Sprint Results'!$I$2:$I$7,B22)*4+COUNTIF('Sprint Results'!$J$2:$J$7,B22)*3+COUNTIF('Sprint Results'!$K$2:$K$7,B22)*2+COUNTIF('Sprint Results'!$L$2:$L$7,B22)*1,0)</f>
        <v>0</v>
      </c>
      <c r="F22" s="8" t="n">
        <f aca="false">IFERROR(IFERROR(COUNTIF('Race Results'!$E$2:$E$25,B22)*25+COUNTIF('Race Results'!$G$2:$G$25,B22)*18+COUNTIF('Race Results'!$H$2:$H$25,B22)*15+COUNTIF('Race Results'!$I$2:$I$25,B22)*12+COUNTIF('Race Results'!$J$2:$J$25,B22)*10+COUNTIF('Race Results'!$K$2:$K$25,B22)*8+COUNTIF('Race Results'!$L$2:$L$25,B22)*6+COUNTIF('Race Results'!$M$2:$M$25,B22)*4+COUNTIF('Race Results'!$N$2:$N$25,B22)*2+COUNTIF('Race Results'!$O$2:$O$25,B22)*1+SUMPRODUCT(('Race Results'!$Q$2:$Q$25=B22)*('Race Results'!$R$2:$R$25="Yes")*1),0),0)</f>
        <v>0</v>
      </c>
      <c r="G22" s="8" t="n">
        <f aca="false">IFERROR(IFERROR(COUNTIF('Sprint Results'!$E$2:$E$7,B22)*8+COUNTIF('Sprint Results'!$F$2:$F$7,B22)*7+COUNTIF('Sprint Results'!$G$2:$G$7,B22)*6+COUNTIF('Sprint Results'!$H$2:$H$7,B22)*5+COUNTIF('Sprint Results'!$I$2:$I$7,B22)*4+COUNTIF('Sprint Results'!$J$2:$J$7,B22)*3+COUNTIF('Sprint Results'!$K$2:$K$7,B22)*2+COUNTIF('Sprint Results'!$L$2:$L$7,B22)*1,0),0)</f>
        <v>0</v>
      </c>
      <c r="H22" s="8" t="n">
        <f aca="false">COUNTIF('Race Results'!$E$2:$E$25,B22)</f>
        <v>0</v>
      </c>
      <c r="I22" s="8" t="n">
        <f aca="false">COUNTIF('Race Results'!$G$2:$G$25,B22)</f>
        <v>0</v>
      </c>
      <c r="J22" s="8" t="n">
        <f aca="false">COUNTIF('Race Results'!$H$2:$H$25,B22)</f>
        <v>0</v>
      </c>
      <c r="K22" s="8" t="n">
        <f aca="false">H22+I22+J22</f>
        <v>0</v>
      </c>
      <c r="L22" s="8" t="n">
        <f aca="false">COUNTIF('Race Results'!$P$2:$P$25,B22)</f>
        <v>0</v>
      </c>
      <c r="M22" s="8" t="n">
        <f aca="false">COUNTIF('Race Results'!$Q$2:$Q$25,B22)</f>
        <v>0</v>
      </c>
      <c r="N22" s="8" t="n">
        <f aca="false">COUNTIF('Sprint Results'!$E$2:$E$7,B22)</f>
        <v>0</v>
      </c>
      <c r="O22" s="8" t="n">
        <f aca="false">MAX(E$2:E$23)-E22</f>
        <v>72</v>
      </c>
    </row>
    <row r="23" customFormat="false" ht="14.25" hidden="false" customHeight="true" outlineLevel="0" collapsed="false">
      <c r="A23" s="10" t="n">
        <f aca="false">RANK(E23,E$2:E$23,0)</f>
        <v>17</v>
      </c>
      <c r="B23" s="11" t="s">
        <v>118</v>
      </c>
      <c r="C23" s="11" t="str">
        <f aca="false">IFERROR(INDEX('Driver Bios'!$C$2:$C$23,MATCH(B23,'Driver Bios'!$B$2:$B$23,0)),"Cadillac")</f>
        <v>Cadillac</v>
      </c>
      <c r="D23" s="11" t="s">
        <v>143</v>
      </c>
      <c r="E23" s="10" t="n">
        <f aca="false">IFERROR(COUNTIF('Race Results'!$E$2:$E$25,B23)*25+COUNTIF('Race Results'!$G$2:$G$25,B23)*18+COUNTIF('Race Results'!$H$2:$H$25,B23)*15+COUNTIF('Race Results'!$I$2:$I$25,B23)*12+COUNTIF('Race Results'!$J$2:$J$25,B23)*10+COUNTIF('Race Results'!$K$2:$K$25,B23)*8+COUNTIF('Race Results'!$L$2:$L$25,B23)*6+COUNTIF('Race Results'!$M$2:$M$25,B23)*4+COUNTIF('Race Results'!$N$2:$N$25,B23)*2+COUNTIF('Race Results'!$O$2:$O$25,B23)*1+SUMPRODUCT(('Race Results'!$Q$2:$Q$25=B23)*('Race Results'!$R$2:$R$25="Yes")*1),0)+IFERROR(COUNTIF('Sprint Results'!$E$2:$E$7,B23)*8+COUNTIF('Sprint Results'!$F$2:$F$7,B23)*7+COUNTIF('Sprint Results'!$G$2:$G$7,B23)*6+COUNTIF('Sprint Results'!$H$2:$H$7,B23)*5+COUNTIF('Sprint Results'!$I$2:$I$7,B23)*4+COUNTIF('Sprint Results'!$J$2:$J$7,B23)*3+COUNTIF('Sprint Results'!$K$2:$K$7,B23)*2+COUNTIF('Sprint Results'!$L$2:$L$7,B23)*1,0)</f>
        <v>0</v>
      </c>
      <c r="F23" s="10" t="n">
        <f aca="false">IFERROR(IFERROR(COUNTIF('Race Results'!$E$2:$E$25,B23)*25+COUNTIF('Race Results'!$G$2:$G$25,B23)*18+COUNTIF('Race Results'!$H$2:$H$25,B23)*15+COUNTIF('Race Results'!$I$2:$I$25,B23)*12+COUNTIF('Race Results'!$J$2:$J$25,B23)*10+COUNTIF('Race Results'!$K$2:$K$25,B23)*8+COUNTIF('Race Results'!$L$2:$L$25,B23)*6+COUNTIF('Race Results'!$M$2:$M$25,B23)*4+COUNTIF('Race Results'!$N$2:$N$25,B23)*2+COUNTIF('Race Results'!$O$2:$O$25,B23)*1+SUMPRODUCT(('Race Results'!$Q$2:$Q$25=B23)*('Race Results'!$R$2:$R$25="Yes")*1),0),0)</f>
        <v>0</v>
      </c>
      <c r="G23" s="10" t="n">
        <f aca="false">IFERROR(IFERROR(COUNTIF('Sprint Results'!$E$2:$E$7,B23)*8+COUNTIF('Sprint Results'!$F$2:$F$7,B23)*7+COUNTIF('Sprint Results'!$G$2:$G$7,B23)*6+COUNTIF('Sprint Results'!$H$2:$H$7,B23)*5+COUNTIF('Sprint Results'!$I$2:$I$7,B23)*4+COUNTIF('Sprint Results'!$J$2:$J$7,B23)*3+COUNTIF('Sprint Results'!$K$2:$K$7,B23)*2+COUNTIF('Sprint Results'!$L$2:$L$7,B23)*1,0),0)</f>
        <v>0</v>
      </c>
      <c r="H23" s="10" t="n">
        <f aca="false">COUNTIF('Race Results'!$E$2:$E$25,B23)</f>
        <v>0</v>
      </c>
      <c r="I23" s="10" t="n">
        <f aca="false">COUNTIF('Race Results'!$G$2:$G$25,B23)</f>
        <v>0</v>
      </c>
      <c r="J23" s="10" t="n">
        <f aca="false">COUNTIF('Race Results'!$H$2:$H$25,B23)</f>
        <v>0</v>
      </c>
      <c r="K23" s="10" t="n">
        <f aca="false">H23+I23+J23</f>
        <v>0</v>
      </c>
      <c r="L23" s="10" t="n">
        <f aca="false">COUNTIF('Race Results'!$P$2:$P$25,B23)</f>
        <v>0</v>
      </c>
      <c r="M23" s="10" t="n">
        <f aca="false">COUNTIF('Race Results'!$Q$2:$Q$25,B23)</f>
        <v>0</v>
      </c>
      <c r="N23" s="10" t="n">
        <f aca="false">COUNTIF('Sprint Results'!$E$2:$E$7,B23)</f>
        <v>0</v>
      </c>
      <c r="O23" s="10" t="n">
        <f aca="false">MAX(E$2:E$23)-E23</f>
        <v>72</v>
      </c>
    </row>
  </sheetData>
  <sheetProtection sheet="true" password="c755"/>
  <conditionalFormatting sqref="A2:O23">
    <cfRule type="expression" priority="2" aboveAverage="0" equalAverage="0" bottom="0" percent="0" rank="0" text="" dxfId="5">
      <formula>$A2=1</formula>
    </cfRule>
    <cfRule type="expression" priority="3" aboveAverage="0" equalAverage="0" bottom="0" percent="0" rank="0" text="" dxfId="6">
      <formula>$A2=2</formula>
    </cfRule>
    <cfRule type="expression" priority="4" aboveAverage="0" equalAverage="0" bottom="0" percent="0" rank="0" text="" dxfId="7">
      <formula>$A2=3</formula>
    </cfRule>
    <cfRule type="expression" priority="5" aboveAverage="0" equalAverage="0" bottom="0" percent="0" rank="0" text="" dxfId="8">
      <formula>$C2="Mercedes"</formula>
    </cfRule>
    <cfRule type="expression" priority="6" aboveAverage="0" equalAverage="0" bottom="0" percent="0" rank="0" text="" dxfId="9">
      <formula>$C2="Ferrari"</formula>
    </cfRule>
    <cfRule type="expression" priority="7" aboveAverage="0" equalAverage="0" bottom="0" percent="0" rank="0" text="" dxfId="10">
      <formula>$C2="McLaren"</formula>
    </cfRule>
    <cfRule type="expression" priority="8" aboveAverage="0" equalAverage="0" bottom="0" percent="0" rank="0" text="" dxfId="11">
      <formula>$C2="Red Bull Racing"</formula>
    </cfRule>
    <cfRule type="expression" priority="9" aboveAverage="0" equalAverage="0" bottom="0" percent="0" rank="0" text="" dxfId="12">
      <formula>$C2="Aston Martin"</formula>
    </cfRule>
    <cfRule type="expression" priority="10" aboveAverage="0" equalAverage="0" bottom="0" percent="0" rank="0" text="" dxfId="13">
      <formula>$C2="Alpine"</formula>
    </cfRule>
    <cfRule type="expression" priority="11" aboveAverage="0" equalAverage="0" bottom="0" percent="0" rank="0" text="" dxfId="14">
      <formula>$C2="Williams"</formula>
    </cfRule>
    <cfRule type="expression" priority="12" aboveAverage="0" equalAverage="0" bottom="0" percent="0" rank="0" text="" dxfId="15">
      <formula>$C2="Racing Bulls"</formula>
    </cfRule>
    <cfRule type="expression" priority="13" aboveAverage="0" equalAverage="0" bottom="0" percent="0" rank="0" text="" dxfId="16">
      <formula>$C2="Haas"</formula>
    </cfRule>
    <cfRule type="expression" priority="14" aboveAverage="0" equalAverage="0" bottom="0" percent="0" rank="0" text="" dxfId="17">
      <formula>$C2="Audi"</formula>
    </cfRule>
    <cfRule type="expression" priority="15" aboveAverage="0" equalAverage="0" bottom="0" percent="0" rank="0" text="" dxfId="18">
      <formula>$C2="Cadillac"</formula>
    </cfRule>
  </conditionalFormatting>
  <conditionalFormatting sqref="E2:E23">
    <cfRule type="dataBar" priority="16">
      <dataBar showValue="1" minLength="10" maxLength="90">
        <cfvo type="min" val="0"/>
        <cfvo type="max" val="0"/>
        <color rgb="FFE10600"/>
      </dataBar>
      <extLst>
        <ext xmlns:x14="http://schemas.microsoft.com/office/spreadsheetml/2009/9/main" uri="{B025F937-C7B1-47D3-B67F-A62EFF666E3E}">
          <x14:id>{EAA23728-EFC5-4A80-B9CC-B724B0E91445}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A23728-EFC5-4A80-B9CC-B724B0E91445}">
            <x14:dataBar minLength="10" maxLength="90" axisPosition="none" gradient="true">
              <x14:cfvo type="min"/>
              <x14:cfvo type="max"/>
              <x14:negativeFillColor rgb="FFE10600"/>
              <x14:axisColor rgb="FF000000"/>
            </x14:dataBar>
          </x14:cfRule>
          <xm:sqref>E2:E23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7"/>
    <col collapsed="false" customWidth="true" hidden="false" outlineLevel="0" max="6" min="6" style="1" width="9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12"/>
  </cols>
  <sheetData>
    <row r="1" customFormat="false" ht="34.5" hidden="false" customHeight="true" outlineLevel="0" collapsed="false">
      <c r="A1" s="6" t="s">
        <v>119</v>
      </c>
      <c r="B1" s="6" t="s">
        <v>144</v>
      </c>
      <c r="C1" s="6" t="s">
        <v>145</v>
      </c>
      <c r="D1" s="6" t="s">
        <v>121</v>
      </c>
      <c r="E1" s="6" t="s">
        <v>124</v>
      </c>
      <c r="F1" s="6" t="s">
        <v>125</v>
      </c>
      <c r="G1" s="6" t="s">
        <v>100</v>
      </c>
      <c r="H1" s="6" t="s">
        <v>126</v>
      </c>
      <c r="I1" s="6" t="s">
        <v>128</v>
      </c>
    </row>
    <row r="2" customFormat="false" ht="14.25" hidden="false" customHeight="true" outlineLevel="0" collapsed="false">
      <c r="A2" s="8" t="n">
        <f aca="false">RANK(D2,D$2:D$12,0)</f>
        <v>1</v>
      </c>
      <c r="B2" s="9" t="s">
        <v>102</v>
      </c>
      <c r="C2" s="9" t="s">
        <v>102</v>
      </c>
      <c r="D2" s="8" t="n">
        <f aca="false">IFERROR(SUMIF('Driver Standings'!$C$2:$C$23,B2,'Driver Standings'!$E$2:$E$23),0)</f>
        <v>135</v>
      </c>
      <c r="E2" s="8" t="n">
        <f aca="false">IFERROR(SUMIF('Driver Standings'!$C$2:$C$23,B2,'Driver Standings'!$H$2:$H$23),0)</f>
        <v>3</v>
      </c>
      <c r="F2" s="8" t="n">
        <f aca="false">IFERROR(SUMIF('Driver Standings'!$C$2:$C$23,B2,'Driver Standings'!$K$2:$K$23),0)</f>
        <v>5</v>
      </c>
      <c r="G2" s="8" t="n">
        <f aca="false">IFERROR(SUMIF('Driver Standings'!$C$2:$C$23,B2,'Driver Standings'!$L$2:$L$23),0)</f>
        <v>3</v>
      </c>
      <c r="H2" s="8" t="n">
        <f aca="false">IFERROR(SUMIF('Driver Standings'!$C$2:$C$23,B2,'Driver Standings'!$M$2:$M$23),0)</f>
        <v>3</v>
      </c>
      <c r="I2" s="8" t="n">
        <f aca="false">MAX(D$2:D$12)-D2</f>
        <v>0</v>
      </c>
    </row>
    <row r="3" customFormat="false" ht="14.25" hidden="false" customHeight="true" outlineLevel="0" collapsed="false">
      <c r="A3" s="10" t="n">
        <f aca="false">RANK(D3,D$2:D$12,0)</f>
        <v>2</v>
      </c>
      <c r="B3" s="11" t="s">
        <v>103</v>
      </c>
      <c r="C3" s="11" t="s">
        <v>103</v>
      </c>
      <c r="D3" s="10" t="n">
        <f aca="false">IFERROR(SUMIF('Driver Standings'!$C$2:$C$23,B3,'Driver Standings'!$E$2:$E$23),0)</f>
        <v>90</v>
      </c>
      <c r="E3" s="10" t="n">
        <f aca="false">IFERROR(SUMIF('Driver Standings'!$C$2:$C$23,B3,'Driver Standings'!$H$2:$H$23),0)</f>
        <v>0</v>
      </c>
      <c r="F3" s="10" t="n">
        <f aca="false">IFERROR(SUMIF('Driver Standings'!$C$2:$C$23,B3,'Driver Standings'!$K$2:$K$23),0)</f>
        <v>3</v>
      </c>
      <c r="G3" s="10" t="n">
        <f aca="false">IFERROR(SUMIF('Driver Standings'!$C$2:$C$23,B3,'Driver Standings'!$L$2:$L$23),0)</f>
        <v>0</v>
      </c>
      <c r="H3" s="10" t="n">
        <f aca="false">IFERROR(SUMIF('Driver Standings'!$C$2:$C$23,B3,'Driver Standings'!$M$2:$M$23),0)</f>
        <v>0</v>
      </c>
      <c r="I3" s="10" t="n">
        <f aca="false">MAX(D$2:D$12)-D3</f>
        <v>45</v>
      </c>
    </row>
    <row r="4" customFormat="false" ht="14.25" hidden="false" customHeight="true" outlineLevel="0" collapsed="false">
      <c r="A4" s="8" t="n">
        <f aca="false">RANK(D4,D$2:D$12,0)</f>
        <v>3</v>
      </c>
      <c r="B4" s="9" t="s">
        <v>105</v>
      </c>
      <c r="C4" s="9" t="s">
        <v>102</v>
      </c>
      <c r="D4" s="8" t="n">
        <f aca="false">IFERROR(SUMIF('Driver Standings'!$C$2:$C$23,B4,'Driver Standings'!$E$2:$E$23),0)</f>
        <v>46</v>
      </c>
      <c r="E4" s="8" t="n">
        <f aca="false">IFERROR(SUMIF('Driver Standings'!$C$2:$C$23,B4,'Driver Standings'!$H$2:$H$23),0)</f>
        <v>0</v>
      </c>
      <c r="F4" s="8" t="n">
        <f aca="false">IFERROR(SUMIF('Driver Standings'!$C$2:$C$23,B4,'Driver Standings'!$K$2:$K$23),0)</f>
        <v>1</v>
      </c>
      <c r="G4" s="8" t="n">
        <f aca="false">IFERROR(SUMIF('Driver Standings'!$C$2:$C$23,B4,'Driver Standings'!$L$2:$L$23),0)</f>
        <v>0</v>
      </c>
      <c r="H4" s="8" t="n">
        <f aca="false">IFERROR(SUMIF('Driver Standings'!$C$2:$C$23,B4,'Driver Standings'!$M$2:$M$23),0)</f>
        <v>0</v>
      </c>
      <c r="I4" s="8" t="n">
        <f aca="false">MAX(D$2:D$12)-D4</f>
        <v>89</v>
      </c>
    </row>
    <row r="5" customFormat="false" ht="14.25" hidden="false" customHeight="true" outlineLevel="0" collapsed="false">
      <c r="A5" s="10" t="n">
        <f aca="false">RANK(D5,D$2:D$12,0)</f>
        <v>4</v>
      </c>
      <c r="B5" s="11" t="s">
        <v>104</v>
      </c>
      <c r="C5" s="11" t="s">
        <v>103</v>
      </c>
      <c r="D5" s="10" t="n">
        <f aca="false">IFERROR(SUMIF('Driver Standings'!$C$2:$C$23,B5,'Driver Standings'!$E$2:$E$23),0)</f>
        <v>18</v>
      </c>
      <c r="E5" s="10" t="n">
        <f aca="false">IFERROR(SUMIF('Driver Standings'!$C$2:$C$23,B5,'Driver Standings'!$H$2:$H$23),0)</f>
        <v>0</v>
      </c>
      <c r="F5" s="10" t="n">
        <f aca="false">IFERROR(SUMIF('Driver Standings'!$C$2:$C$23,B5,'Driver Standings'!$K$2:$K$23),0)</f>
        <v>0</v>
      </c>
      <c r="G5" s="10" t="n">
        <f aca="false">IFERROR(SUMIF('Driver Standings'!$C$2:$C$23,B5,'Driver Standings'!$L$2:$L$23),0)</f>
        <v>0</v>
      </c>
      <c r="H5" s="10" t="n">
        <f aca="false">IFERROR(SUMIF('Driver Standings'!$C$2:$C$23,B5,'Driver Standings'!$M$2:$M$23),0)</f>
        <v>0</v>
      </c>
      <c r="I5" s="10" t="n">
        <f aca="false">MAX(D$2:D$12)-D5</f>
        <v>117</v>
      </c>
    </row>
    <row r="6" customFormat="false" ht="14.25" hidden="false" customHeight="true" outlineLevel="0" collapsed="false">
      <c r="A6" s="8" t="n">
        <f aca="false">RANK(D6,D$2:D$12,0)</f>
        <v>5</v>
      </c>
      <c r="B6" s="9" t="s">
        <v>107</v>
      </c>
      <c r="C6" s="9" t="s">
        <v>146</v>
      </c>
      <c r="D6" s="8" t="n">
        <f aca="false">IFERROR(SUMIF('Driver Standings'!$C$2:$C$23,B6,'Driver Standings'!$E$2:$E$23),0)</f>
        <v>16</v>
      </c>
      <c r="E6" s="8" t="n">
        <f aca="false">IFERROR(SUMIF('Driver Standings'!$C$2:$C$23,B6,'Driver Standings'!$H$2:$H$23),0)</f>
        <v>0</v>
      </c>
      <c r="F6" s="8" t="n">
        <f aca="false">IFERROR(SUMIF('Driver Standings'!$C$2:$C$23,B6,'Driver Standings'!$K$2:$K$23),0)</f>
        <v>0</v>
      </c>
      <c r="G6" s="8" t="n">
        <f aca="false">IFERROR(SUMIF('Driver Standings'!$C$2:$C$23,B6,'Driver Standings'!$L$2:$L$23),0)</f>
        <v>0</v>
      </c>
      <c r="H6" s="8" t="n">
        <f aca="false">IFERROR(SUMIF('Driver Standings'!$C$2:$C$23,B6,'Driver Standings'!$M$2:$M$23),0)</f>
        <v>0</v>
      </c>
      <c r="I6" s="8" t="n">
        <f aca="false">MAX(D$2:D$12)-D6</f>
        <v>119</v>
      </c>
    </row>
    <row r="7" customFormat="false" ht="14.25" hidden="false" customHeight="true" outlineLevel="0" collapsed="false">
      <c r="A7" s="10" t="n">
        <f aca="false">RANK(D7,D$2:D$12,0)</f>
        <v>7</v>
      </c>
      <c r="B7" s="11" t="s">
        <v>108</v>
      </c>
      <c r="C7" s="11" t="s">
        <v>146</v>
      </c>
      <c r="D7" s="10" t="n">
        <f aca="false">IFERROR(SUMIF('Driver Standings'!$C$2:$C$23,B7,'Driver Standings'!$E$2:$E$23),0)</f>
        <v>14</v>
      </c>
      <c r="E7" s="10" t="n">
        <f aca="false">IFERROR(SUMIF('Driver Standings'!$C$2:$C$23,B7,'Driver Standings'!$H$2:$H$23),0)</f>
        <v>0</v>
      </c>
      <c r="F7" s="10" t="n">
        <f aca="false">IFERROR(SUMIF('Driver Standings'!$C$2:$C$23,B7,'Driver Standings'!$K$2:$K$23),0)</f>
        <v>0</v>
      </c>
      <c r="G7" s="10" t="n">
        <f aca="false">IFERROR(SUMIF('Driver Standings'!$C$2:$C$23,B7,'Driver Standings'!$L$2:$L$23),0)</f>
        <v>0</v>
      </c>
      <c r="H7" s="10" t="n">
        <f aca="false">IFERROR(SUMIF('Driver Standings'!$C$2:$C$23,B7,'Driver Standings'!$M$2:$M$23),0)</f>
        <v>0</v>
      </c>
      <c r="I7" s="10" t="n">
        <f aca="false">MAX(D$2:D$12)-D7</f>
        <v>121</v>
      </c>
    </row>
    <row r="8" customFormat="false" ht="14.25" hidden="false" customHeight="true" outlineLevel="0" collapsed="false">
      <c r="A8" s="8" t="n">
        <f aca="false">RANK(D8,D$2:D$12,0)</f>
        <v>5</v>
      </c>
      <c r="B8" s="9" t="s">
        <v>106</v>
      </c>
      <c r="C8" s="9" t="s">
        <v>102</v>
      </c>
      <c r="D8" s="8" t="n">
        <f aca="false">IFERROR(SUMIF('Driver Standings'!$C$2:$C$23,B8,'Driver Standings'!$E$2:$E$23),0)</f>
        <v>16</v>
      </c>
      <c r="E8" s="8" t="n">
        <f aca="false">IFERROR(SUMIF('Driver Standings'!$C$2:$C$23,B8,'Driver Standings'!$H$2:$H$23),0)</f>
        <v>0</v>
      </c>
      <c r="F8" s="8" t="n">
        <f aca="false">IFERROR(SUMIF('Driver Standings'!$C$2:$C$23,B8,'Driver Standings'!$K$2:$K$23),0)</f>
        <v>0</v>
      </c>
      <c r="G8" s="8" t="n">
        <f aca="false">IFERROR(SUMIF('Driver Standings'!$C$2:$C$23,B8,'Driver Standings'!$L$2:$L$23),0)</f>
        <v>0</v>
      </c>
      <c r="H8" s="8" t="n">
        <f aca="false">IFERROR(SUMIF('Driver Standings'!$C$2:$C$23,B8,'Driver Standings'!$M$2:$M$23),0)</f>
        <v>0</v>
      </c>
      <c r="I8" s="8" t="n">
        <f aca="false">MAX(D$2:D$12)-D8</f>
        <v>119</v>
      </c>
    </row>
    <row r="9" customFormat="false" ht="14.25" hidden="false" customHeight="true" outlineLevel="0" collapsed="false">
      <c r="A9" s="10" t="n">
        <f aca="false">RANK(D9,D$2:D$12,0)</f>
        <v>8</v>
      </c>
      <c r="B9" s="11" t="s">
        <v>109</v>
      </c>
      <c r="C9" s="11" t="s">
        <v>102</v>
      </c>
      <c r="D9" s="10" t="n">
        <f aca="false">IFERROR(SUMIF('Driver Standings'!$C$2:$C$23,B9,'Driver Standings'!$E$2:$E$23),0)</f>
        <v>2</v>
      </c>
      <c r="E9" s="10" t="n">
        <f aca="false">IFERROR(SUMIF('Driver Standings'!$C$2:$C$23,B9,'Driver Standings'!$H$2:$H$23),0)</f>
        <v>0</v>
      </c>
      <c r="F9" s="10" t="n">
        <f aca="false">IFERROR(SUMIF('Driver Standings'!$C$2:$C$23,B9,'Driver Standings'!$K$2:$K$23),0)</f>
        <v>0</v>
      </c>
      <c r="G9" s="10" t="n">
        <f aca="false">IFERROR(SUMIF('Driver Standings'!$C$2:$C$23,B9,'Driver Standings'!$L$2:$L$23),0)</f>
        <v>0</v>
      </c>
      <c r="H9" s="10" t="n">
        <f aca="false">IFERROR(SUMIF('Driver Standings'!$C$2:$C$23,B9,'Driver Standings'!$M$2:$M$23),0)</f>
        <v>0</v>
      </c>
      <c r="I9" s="10" t="n">
        <f aca="false">MAX(D$2:D$12)-D9</f>
        <v>133</v>
      </c>
    </row>
    <row r="10" customFormat="false" ht="14.25" hidden="false" customHeight="true" outlineLevel="0" collapsed="false">
      <c r="A10" s="8" t="n">
        <f aca="false">RANK(D10,D$2:D$12,0)</f>
        <v>8</v>
      </c>
      <c r="B10" s="9" t="s">
        <v>110</v>
      </c>
      <c r="C10" s="9" t="s">
        <v>110</v>
      </c>
      <c r="D10" s="8" t="n">
        <f aca="false">IFERROR(SUMIF('Driver Standings'!$C$2:$C$23,B10,'Driver Standings'!$E$2:$E$23),0)</f>
        <v>2</v>
      </c>
      <c r="E10" s="8" t="n">
        <f aca="false">IFERROR(SUMIF('Driver Standings'!$C$2:$C$23,B10,'Driver Standings'!$H$2:$H$23),0)</f>
        <v>0</v>
      </c>
      <c r="F10" s="8" t="n">
        <f aca="false">IFERROR(SUMIF('Driver Standings'!$C$2:$C$23,B10,'Driver Standings'!$K$2:$K$23),0)</f>
        <v>0</v>
      </c>
      <c r="G10" s="8" t="n">
        <f aca="false">IFERROR(SUMIF('Driver Standings'!$C$2:$C$23,B10,'Driver Standings'!$L$2:$L$23),0)</f>
        <v>0</v>
      </c>
      <c r="H10" s="8" t="n">
        <f aca="false">IFERROR(SUMIF('Driver Standings'!$C$2:$C$23,B10,'Driver Standings'!$M$2:$M$23),0)</f>
        <v>0</v>
      </c>
      <c r="I10" s="8" t="n">
        <f aca="false">MAX(D$2:D$12)-D10</f>
        <v>133</v>
      </c>
    </row>
    <row r="11" customFormat="false" ht="14.25" hidden="false" customHeight="true" outlineLevel="0" collapsed="false">
      <c r="A11" s="10" t="n">
        <f aca="false">RANK(D11,D$2:D$12,0)</f>
        <v>10</v>
      </c>
      <c r="B11" s="11" t="s">
        <v>112</v>
      </c>
      <c r="C11" s="11" t="s">
        <v>147</v>
      </c>
      <c r="D11" s="10" t="n">
        <f aca="false">IFERROR(SUMIF('Driver Standings'!$C$2:$C$23,B11,'Driver Standings'!$E$2:$E$23),0)</f>
        <v>0</v>
      </c>
      <c r="E11" s="10" t="n">
        <f aca="false">IFERROR(SUMIF('Driver Standings'!$C$2:$C$23,B11,'Driver Standings'!$H$2:$H$23),0)</f>
        <v>0</v>
      </c>
      <c r="F11" s="10" t="n">
        <f aca="false">IFERROR(SUMIF('Driver Standings'!$C$2:$C$23,B11,'Driver Standings'!$K$2:$K$23),0)</f>
        <v>0</v>
      </c>
      <c r="G11" s="10" t="n">
        <f aca="false">IFERROR(SUMIF('Driver Standings'!$C$2:$C$23,B11,'Driver Standings'!$L$2:$L$23),0)</f>
        <v>0</v>
      </c>
      <c r="H11" s="10" t="n">
        <f aca="false">IFERROR(SUMIF('Driver Standings'!$C$2:$C$23,B11,'Driver Standings'!$M$2:$M$23),0)</f>
        <v>0</v>
      </c>
      <c r="I11" s="10" t="n">
        <f aca="false">MAX(D$2:D$12)-D11</f>
        <v>135</v>
      </c>
    </row>
    <row r="12" customFormat="false" ht="14.25" hidden="false" customHeight="true" outlineLevel="0" collapsed="false">
      <c r="A12" s="8" t="n">
        <f aca="false">RANK(D12,D$2:D$12,0)</f>
        <v>10</v>
      </c>
      <c r="B12" s="9" t="s">
        <v>117</v>
      </c>
      <c r="C12" s="9" t="s">
        <v>103</v>
      </c>
      <c r="D12" s="8" t="n">
        <f aca="false">IFERROR(SUMIF('Driver Standings'!$C$2:$C$23,B12,'Driver Standings'!$E$2:$E$23),0)</f>
        <v>0</v>
      </c>
      <c r="E12" s="8" t="n">
        <f aca="false">IFERROR(SUMIF('Driver Standings'!$C$2:$C$23,B12,'Driver Standings'!$H$2:$H$23),0)</f>
        <v>0</v>
      </c>
      <c r="F12" s="8" t="n">
        <f aca="false">IFERROR(SUMIF('Driver Standings'!$C$2:$C$23,B12,'Driver Standings'!$K$2:$K$23),0)</f>
        <v>0</v>
      </c>
      <c r="G12" s="8" t="n">
        <f aca="false">IFERROR(SUMIF('Driver Standings'!$C$2:$C$23,B12,'Driver Standings'!$L$2:$L$23),0)</f>
        <v>0</v>
      </c>
      <c r="H12" s="8" t="n">
        <f aca="false">IFERROR(SUMIF('Driver Standings'!$C$2:$C$23,B12,'Driver Standings'!$M$2:$M$23),0)</f>
        <v>0</v>
      </c>
      <c r="I12" s="8" t="n">
        <f aca="false">MAX(D$2:D$12)-D12</f>
        <v>135</v>
      </c>
    </row>
  </sheetData>
  <sheetProtection sheet="true" password="c755"/>
  <conditionalFormatting sqref="A2:I12">
    <cfRule type="expression" priority="2" aboveAverage="0" equalAverage="0" bottom="0" percent="0" rank="0" text="" dxfId="5">
      <formula>$A2=1</formula>
    </cfRule>
    <cfRule type="expression" priority="3" aboveAverage="0" equalAverage="0" bottom="0" percent="0" rank="0" text="" dxfId="6">
      <formula>$A2=2</formula>
    </cfRule>
    <cfRule type="expression" priority="4" aboveAverage="0" equalAverage="0" bottom="0" percent="0" rank="0" text="" dxfId="7">
      <formula>$A2=3</formula>
    </cfRule>
    <cfRule type="expression" priority="5" aboveAverage="0" equalAverage="0" bottom="0" percent="0" rank="0" text="" dxfId="8">
      <formula>$B2="Mercedes"</formula>
    </cfRule>
    <cfRule type="expression" priority="6" aboveAverage="0" equalAverage="0" bottom="0" percent="0" rank="0" text="" dxfId="9">
      <formula>$B2="Ferrari"</formula>
    </cfRule>
    <cfRule type="expression" priority="7" aboveAverage="0" equalAverage="0" bottom="0" percent="0" rank="0" text="" dxfId="10">
      <formula>$B2="McLaren"</formula>
    </cfRule>
    <cfRule type="expression" priority="8" aboveAverage="0" equalAverage="0" bottom="0" percent="0" rank="0" text="" dxfId="11">
      <formula>$B2="Red Bull Racing"</formula>
    </cfRule>
    <cfRule type="expression" priority="9" aboveAverage="0" equalAverage="0" bottom="0" percent="0" rank="0" text="" dxfId="12">
      <formula>$B2="Aston Martin"</formula>
    </cfRule>
    <cfRule type="expression" priority="10" aboveAverage="0" equalAverage="0" bottom="0" percent="0" rank="0" text="" dxfId="13">
      <formula>$B2="Alpine"</formula>
    </cfRule>
    <cfRule type="expression" priority="11" aboveAverage="0" equalAverage="0" bottom="0" percent="0" rank="0" text="" dxfId="14">
      <formula>$B2="Williams"</formula>
    </cfRule>
    <cfRule type="expression" priority="12" aboveAverage="0" equalAverage="0" bottom="0" percent="0" rank="0" text="" dxfId="15">
      <formula>$B2="Racing Bulls"</formula>
    </cfRule>
    <cfRule type="expression" priority="13" aboveAverage="0" equalAverage="0" bottom="0" percent="0" rank="0" text="" dxfId="16">
      <formula>$B2="Haas"</formula>
    </cfRule>
    <cfRule type="expression" priority="14" aboveAverage="0" equalAverage="0" bottom="0" percent="0" rank="0" text="" dxfId="17">
      <formula>$B2="Audi"</formula>
    </cfRule>
    <cfRule type="expression" priority="15" aboveAverage="0" equalAverage="0" bottom="0" percent="0" rank="0" text="" dxfId="18">
      <formula>$B2="Cadillac"</formula>
    </cfRule>
  </conditionalFormatting>
  <conditionalFormatting sqref="D2:D12">
    <cfRule type="dataBar" priority="16">
      <dataBar showValue="1" minLength="10" maxLength="90">
        <cfvo type="min" val="0"/>
        <cfvo type="max" val="0"/>
        <color rgb="FFE10600"/>
      </dataBar>
      <extLst>
        <ext xmlns:x14="http://schemas.microsoft.com/office/spreadsheetml/2009/9/main" uri="{B025F937-C7B1-47D3-B67F-A62EFF666E3E}">
          <x14:id>{C5BA58E4-74E0-41EE-9E8A-1FDA56EC6AC0}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A58E4-74E0-41EE-9E8A-1FDA56EC6AC0}">
            <x14:dataBar minLength="10" maxLength="90" axisPosition="none" gradient="true">
              <x14:cfvo type="min"/>
              <x14:cfvo type="max"/>
              <x14:negativeFillColor rgb="FFE10600"/>
              <x14:axisColor rgb="FF000000"/>
            </x14:dataBar>
          </x14:cfRule>
          <xm:sqref>D2:D12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26" min="3" style="1" width="6"/>
    <col collapsed="false" customWidth="true" hidden="false" outlineLevel="0" max="27" min="27" style="1" width="8"/>
  </cols>
  <sheetData>
    <row r="1" customFormat="false" ht="34.5" hidden="false" customHeight="true" outlineLevel="0" collapsed="false">
      <c r="A1" s="28" t="s">
        <v>148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31.5" hidden="false" customHeight="true" outlineLevel="0" collapsed="false">
      <c r="A2" s="29" t="s">
        <v>99</v>
      </c>
      <c r="B2" s="29" t="s">
        <v>25</v>
      </c>
      <c r="C2" s="30" t="s">
        <v>149</v>
      </c>
      <c r="D2" s="31" t="s">
        <v>150</v>
      </c>
      <c r="E2" s="30" t="s">
        <v>151</v>
      </c>
      <c r="F2" s="30" t="s">
        <v>152</v>
      </c>
      <c r="G2" s="30" t="s">
        <v>153</v>
      </c>
      <c r="H2" s="31" t="s">
        <v>154</v>
      </c>
      <c r="I2" s="31" t="s">
        <v>155</v>
      </c>
      <c r="J2" s="30" t="s">
        <v>156</v>
      </c>
      <c r="K2" s="30" t="s">
        <v>157</v>
      </c>
      <c r="L2" s="30" t="s">
        <v>158</v>
      </c>
      <c r="M2" s="30" t="s">
        <v>159</v>
      </c>
      <c r="N2" s="31" t="s">
        <v>160</v>
      </c>
      <c r="O2" s="30" t="s">
        <v>161</v>
      </c>
      <c r="P2" s="30" t="s">
        <v>162</v>
      </c>
      <c r="Q2" s="31" t="s">
        <v>163</v>
      </c>
      <c r="R2" s="30" t="s">
        <v>164</v>
      </c>
      <c r="S2" s="30" t="s">
        <v>165</v>
      </c>
      <c r="T2" s="31" t="s">
        <v>166</v>
      </c>
      <c r="U2" s="30" t="s">
        <v>167</v>
      </c>
      <c r="V2" s="30" t="s">
        <v>168</v>
      </c>
      <c r="W2" s="30" t="s">
        <v>169</v>
      </c>
      <c r="X2" s="30" t="s">
        <v>170</v>
      </c>
      <c r="Y2" s="30" t="s">
        <v>171</v>
      </c>
      <c r="Z2" s="30" t="s">
        <v>172</v>
      </c>
      <c r="AA2" s="32" t="s">
        <v>173</v>
      </c>
    </row>
    <row r="3" customFormat="false" ht="15.75" hidden="false" customHeight="true" outlineLevel="0" collapsed="false">
      <c r="A3" s="33" t="s">
        <v>48</v>
      </c>
      <c r="B3" s="34" t="s">
        <v>102</v>
      </c>
      <c r="C3" s="35" t="n">
        <f aca="false">'Chart Data'!B2</f>
        <v>25</v>
      </c>
      <c r="D3" s="35" t="n">
        <f aca="false">'Chart Data'!C2</f>
        <v>26</v>
      </c>
      <c r="E3" s="35" t="n">
        <f aca="false">'Chart Data'!D2</f>
        <v>12</v>
      </c>
      <c r="F3" s="35" t="n">
        <f aca="false">'Chart Data'!E2</f>
        <v>0</v>
      </c>
      <c r="G3" s="35" t="n">
        <f aca="false">'Chart Data'!F2</f>
        <v>0</v>
      </c>
      <c r="H3" s="35" t="n">
        <f aca="false">'Chart Data'!G2</f>
        <v>0</v>
      </c>
      <c r="I3" s="35" t="n">
        <f aca="false">'Chart Data'!H2</f>
        <v>0</v>
      </c>
      <c r="J3" s="35" t="n">
        <f aca="false">'Chart Data'!I2</f>
        <v>0</v>
      </c>
      <c r="K3" s="35" t="n">
        <f aca="false">'Chart Data'!J2</f>
        <v>0</v>
      </c>
      <c r="L3" s="35" t="n">
        <f aca="false">'Chart Data'!K2</f>
        <v>0</v>
      </c>
      <c r="M3" s="35" t="n">
        <f aca="false">'Chart Data'!L2</f>
        <v>0</v>
      </c>
      <c r="N3" s="35" t="n">
        <f aca="false">'Chart Data'!M2</f>
        <v>0</v>
      </c>
      <c r="O3" s="35" t="n">
        <f aca="false">'Chart Data'!N2</f>
        <v>0</v>
      </c>
      <c r="P3" s="35" t="n">
        <f aca="false">'Chart Data'!O2</f>
        <v>0</v>
      </c>
      <c r="Q3" s="35" t="n">
        <f aca="false">'Chart Data'!P2</f>
        <v>0</v>
      </c>
      <c r="R3" s="35" t="n">
        <f aca="false">'Chart Data'!Q2</f>
        <v>0</v>
      </c>
      <c r="S3" s="35" t="n">
        <f aca="false">'Chart Data'!R2</f>
        <v>0</v>
      </c>
      <c r="T3" s="35" t="n">
        <f aca="false">'Chart Data'!S2</f>
        <v>0</v>
      </c>
      <c r="U3" s="35" t="n">
        <f aca="false">'Chart Data'!T2</f>
        <v>0</v>
      </c>
      <c r="V3" s="35" t="n">
        <f aca="false">'Chart Data'!U2</f>
        <v>0</v>
      </c>
      <c r="W3" s="35" t="n">
        <f aca="false">'Chart Data'!V2</f>
        <v>0</v>
      </c>
      <c r="X3" s="35" t="n">
        <f aca="false">'Chart Data'!W2</f>
        <v>0</v>
      </c>
      <c r="Y3" s="35" t="n">
        <f aca="false">'Chart Data'!X2</f>
        <v>0</v>
      </c>
      <c r="Z3" s="35" t="n">
        <f aca="false">'Chart Data'!Y2</f>
        <v>0</v>
      </c>
      <c r="AA3" s="36" t="n">
        <f aca="false">IFERROR(INDEX('Driver Standings'!$E$2:$E$23,MATCH(A3,'Driver Standings'!$B$2:$B$23,0)),0)</f>
        <v>63</v>
      </c>
    </row>
    <row r="4" customFormat="false" ht="15.75" hidden="false" customHeight="true" outlineLevel="0" collapsed="false">
      <c r="A4" s="33" t="s">
        <v>49</v>
      </c>
      <c r="B4" s="34" t="s">
        <v>102</v>
      </c>
      <c r="C4" s="35" t="n">
        <f aca="false">'Chart Data'!B3</f>
        <v>18</v>
      </c>
      <c r="D4" s="35" t="n">
        <f aca="false">'Chart Data'!C3</f>
        <v>29</v>
      </c>
      <c r="E4" s="35" t="n">
        <f aca="false">'Chart Data'!D3</f>
        <v>25</v>
      </c>
      <c r="F4" s="35" t="n">
        <f aca="false">'Chart Data'!E3</f>
        <v>0</v>
      </c>
      <c r="G4" s="35" t="n">
        <f aca="false">'Chart Data'!F3</f>
        <v>0</v>
      </c>
      <c r="H4" s="35" t="n">
        <f aca="false">'Chart Data'!G3</f>
        <v>0</v>
      </c>
      <c r="I4" s="35" t="n">
        <f aca="false">'Chart Data'!H3</f>
        <v>0</v>
      </c>
      <c r="J4" s="35" t="n">
        <f aca="false">'Chart Data'!I3</f>
        <v>0</v>
      </c>
      <c r="K4" s="35" t="n">
        <f aca="false">'Chart Data'!J3</f>
        <v>0</v>
      </c>
      <c r="L4" s="35" t="n">
        <f aca="false">'Chart Data'!K3</f>
        <v>0</v>
      </c>
      <c r="M4" s="35" t="n">
        <f aca="false">'Chart Data'!L3</f>
        <v>0</v>
      </c>
      <c r="N4" s="35" t="n">
        <f aca="false">'Chart Data'!M3</f>
        <v>0</v>
      </c>
      <c r="O4" s="35" t="n">
        <f aca="false">'Chart Data'!N3</f>
        <v>0</v>
      </c>
      <c r="P4" s="35" t="n">
        <f aca="false">'Chart Data'!O3</f>
        <v>0</v>
      </c>
      <c r="Q4" s="35" t="n">
        <f aca="false">'Chart Data'!P3</f>
        <v>0</v>
      </c>
      <c r="R4" s="35" t="n">
        <f aca="false">'Chart Data'!Q3</f>
        <v>0</v>
      </c>
      <c r="S4" s="35" t="n">
        <f aca="false">'Chart Data'!R3</f>
        <v>0</v>
      </c>
      <c r="T4" s="35" t="n">
        <f aca="false">'Chart Data'!S3</f>
        <v>0</v>
      </c>
      <c r="U4" s="35" t="n">
        <f aca="false">'Chart Data'!T3</f>
        <v>0</v>
      </c>
      <c r="V4" s="35" t="n">
        <f aca="false">'Chart Data'!U3</f>
        <v>0</v>
      </c>
      <c r="W4" s="35" t="n">
        <f aca="false">'Chart Data'!V3</f>
        <v>0</v>
      </c>
      <c r="X4" s="35" t="n">
        <f aca="false">'Chart Data'!W3</f>
        <v>0</v>
      </c>
      <c r="Y4" s="35" t="n">
        <f aca="false">'Chart Data'!X3</f>
        <v>0</v>
      </c>
      <c r="Z4" s="35" t="n">
        <f aca="false">'Chart Data'!Y3</f>
        <v>0</v>
      </c>
      <c r="AA4" s="36" t="n">
        <f aca="false">IFERROR(INDEX('Driver Standings'!$E$2:$E$23,MATCH(A4,'Driver Standings'!$B$2:$B$23,0)),0)</f>
        <v>72</v>
      </c>
    </row>
    <row r="5" customFormat="false" ht="15.75" hidden="false" customHeight="true" outlineLevel="0" collapsed="false">
      <c r="A5" s="37" t="s">
        <v>50</v>
      </c>
      <c r="B5" s="38" t="s">
        <v>103</v>
      </c>
      <c r="C5" s="39" t="n">
        <f aca="false">'Chart Data'!B4</f>
        <v>15</v>
      </c>
      <c r="D5" s="39" t="n">
        <f aca="false">'Chart Data'!C4</f>
        <v>19</v>
      </c>
      <c r="E5" s="39" t="n">
        <f aca="false">'Chart Data'!D4</f>
        <v>15</v>
      </c>
      <c r="F5" s="39" t="n">
        <f aca="false">'Chart Data'!E4</f>
        <v>0</v>
      </c>
      <c r="G5" s="39" t="n">
        <f aca="false">'Chart Data'!F4</f>
        <v>0</v>
      </c>
      <c r="H5" s="39" t="n">
        <f aca="false">'Chart Data'!G4</f>
        <v>0</v>
      </c>
      <c r="I5" s="39" t="n">
        <f aca="false">'Chart Data'!H4</f>
        <v>0</v>
      </c>
      <c r="J5" s="39" t="n">
        <f aca="false">'Chart Data'!I4</f>
        <v>0</v>
      </c>
      <c r="K5" s="39" t="n">
        <f aca="false">'Chart Data'!J4</f>
        <v>0</v>
      </c>
      <c r="L5" s="39" t="n">
        <f aca="false">'Chart Data'!K4</f>
        <v>0</v>
      </c>
      <c r="M5" s="39" t="n">
        <f aca="false">'Chart Data'!L4</f>
        <v>0</v>
      </c>
      <c r="N5" s="39" t="n">
        <f aca="false">'Chart Data'!M4</f>
        <v>0</v>
      </c>
      <c r="O5" s="39" t="n">
        <f aca="false">'Chart Data'!N4</f>
        <v>0</v>
      </c>
      <c r="P5" s="39" t="n">
        <f aca="false">'Chart Data'!O4</f>
        <v>0</v>
      </c>
      <c r="Q5" s="39" t="n">
        <f aca="false">'Chart Data'!P4</f>
        <v>0</v>
      </c>
      <c r="R5" s="39" t="n">
        <f aca="false">'Chart Data'!Q4</f>
        <v>0</v>
      </c>
      <c r="S5" s="39" t="n">
        <f aca="false">'Chart Data'!R4</f>
        <v>0</v>
      </c>
      <c r="T5" s="39" t="n">
        <f aca="false">'Chart Data'!S4</f>
        <v>0</v>
      </c>
      <c r="U5" s="39" t="n">
        <f aca="false">'Chart Data'!T4</f>
        <v>0</v>
      </c>
      <c r="V5" s="39" t="n">
        <f aca="false">'Chart Data'!U4</f>
        <v>0</v>
      </c>
      <c r="W5" s="39" t="n">
        <f aca="false">'Chart Data'!V4</f>
        <v>0</v>
      </c>
      <c r="X5" s="39" t="n">
        <f aca="false">'Chart Data'!W4</f>
        <v>0</v>
      </c>
      <c r="Y5" s="39" t="n">
        <f aca="false">'Chart Data'!X4</f>
        <v>0</v>
      </c>
      <c r="Z5" s="39" t="n">
        <f aca="false">'Chart Data'!Y4</f>
        <v>0</v>
      </c>
      <c r="AA5" s="40" t="n">
        <f aca="false">IFERROR(INDEX('Driver Standings'!$E$2:$E$23,MATCH(A5,'Driver Standings'!$B$2:$B$23,0)),0)</f>
        <v>49</v>
      </c>
    </row>
    <row r="6" customFormat="false" ht="15.75" hidden="false" customHeight="true" outlineLevel="0" collapsed="false">
      <c r="A6" s="37" t="s">
        <v>51</v>
      </c>
      <c r="B6" s="38" t="s">
        <v>103</v>
      </c>
      <c r="C6" s="39" t="n">
        <f aca="false">'Chart Data'!B5</f>
        <v>12</v>
      </c>
      <c r="D6" s="39" t="n">
        <f aca="false">'Chart Data'!C5</f>
        <v>21</v>
      </c>
      <c r="E6" s="39" t="n">
        <f aca="false">'Chart Data'!D5</f>
        <v>8</v>
      </c>
      <c r="F6" s="39" t="n">
        <f aca="false">'Chart Data'!E5</f>
        <v>0</v>
      </c>
      <c r="G6" s="39" t="n">
        <f aca="false">'Chart Data'!F5</f>
        <v>0</v>
      </c>
      <c r="H6" s="39" t="n">
        <f aca="false">'Chart Data'!G5</f>
        <v>0</v>
      </c>
      <c r="I6" s="39" t="n">
        <f aca="false">'Chart Data'!H5</f>
        <v>0</v>
      </c>
      <c r="J6" s="39" t="n">
        <f aca="false">'Chart Data'!I5</f>
        <v>0</v>
      </c>
      <c r="K6" s="39" t="n">
        <f aca="false">'Chart Data'!J5</f>
        <v>0</v>
      </c>
      <c r="L6" s="39" t="n">
        <f aca="false">'Chart Data'!K5</f>
        <v>0</v>
      </c>
      <c r="M6" s="39" t="n">
        <f aca="false">'Chart Data'!L5</f>
        <v>0</v>
      </c>
      <c r="N6" s="39" t="n">
        <f aca="false">'Chart Data'!M5</f>
        <v>0</v>
      </c>
      <c r="O6" s="39" t="n">
        <f aca="false">'Chart Data'!N5</f>
        <v>0</v>
      </c>
      <c r="P6" s="39" t="n">
        <f aca="false">'Chart Data'!O5</f>
        <v>0</v>
      </c>
      <c r="Q6" s="39" t="n">
        <f aca="false">'Chart Data'!P5</f>
        <v>0</v>
      </c>
      <c r="R6" s="39" t="n">
        <f aca="false">'Chart Data'!Q5</f>
        <v>0</v>
      </c>
      <c r="S6" s="39" t="n">
        <f aca="false">'Chart Data'!R5</f>
        <v>0</v>
      </c>
      <c r="T6" s="39" t="n">
        <f aca="false">'Chart Data'!S5</f>
        <v>0</v>
      </c>
      <c r="U6" s="39" t="n">
        <f aca="false">'Chart Data'!T5</f>
        <v>0</v>
      </c>
      <c r="V6" s="39" t="n">
        <f aca="false">'Chart Data'!U5</f>
        <v>0</v>
      </c>
      <c r="W6" s="39" t="n">
        <f aca="false">'Chart Data'!V5</f>
        <v>0</v>
      </c>
      <c r="X6" s="39" t="n">
        <f aca="false">'Chart Data'!W5</f>
        <v>0</v>
      </c>
      <c r="Y6" s="39" t="n">
        <f aca="false">'Chart Data'!X5</f>
        <v>0</v>
      </c>
      <c r="Z6" s="39" t="n">
        <f aca="false">'Chart Data'!Y5</f>
        <v>0</v>
      </c>
      <c r="AA6" s="40" t="n">
        <f aca="false">IFERROR(INDEX('Driver Standings'!$E$2:$E$23,MATCH(A6,'Driver Standings'!$B$2:$B$23,0)),0)</f>
        <v>41</v>
      </c>
    </row>
    <row r="7" customFormat="false" ht="15.75" hidden="false" customHeight="true" outlineLevel="0" collapsed="false">
      <c r="A7" s="41" t="s">
        <v>54</v>
      </c>
      <c r="B7" s="42" t="s">
        <v>104</v>
      </c>
      <c r="C7" s="43" t="n">
        <f aca="false">'Chart Data'!B6</f>
        <v>6</v>
      </c>
      <c r="D7" s="43" t="n">
        <f aca="false">'Chart Data'!C6</f>
        <v>11</v>
      </c>
      <c r="E7" s="43" t="n">
        <f aca="false">'Chart Data'!D6</f>
        <v>0</v>
      </c>
      <c r="F7" s="43" t="n">
        <f aca="false">'Chart Data'!E6</f>
        <v>0</v>
      </c>
      <c r="G7" s="43" t="n">
        <f aca="false">'Chart Data'!F6</f>
        <v>0</v>
      </c>
      <c r="H7" s="43" t="n">
        <f aca="false">'Chart Data'!G6</f>
        <v>0</v>
      </c>
      <c r="I7" s="43" t="n">
        <f aca="false">'Chart Data'!H6</f>
        <v>0</v>
      </c>
      <c r="J7" s="43" t="n">
        <f aca="false">'Chart Data'!I6</f>
        <v>0</v>
      </c>
      <c r="K7" s="43" t="n">
        <f aca="false">'Chart Data'!J6</f>
        <v>0</v>
      </c>
      <c r="L7" s="43" t="n">
        <f aca="false">'Chart Data'!K6</f>
        <v>0</v>
      </c>
      <c r="M7" s="43" t="n">
        <f aca="false">'Chart Data'!L6</f>
        <v>0</v>
      </c>
      <c r="N7" s="43" t="n">
        <f aca="false">'Chart Data'!M6</f>
        <v>0</v>
      </c>
      <c r="O7" s="43" t="n">
        <f aca="false">'Chart Data'!N6</f>
        <v>0</v>
      </c>
      <c r="P7" s="43" t="n">
        <f aca="false">'Chart Data'!O6</f>
        <v>0</v>
      </c>
      <c r="Q7" s="43" t="n">
        <f aca="false">'Chart Data'!P6</f>
        <v>0</v>
      </c>
      <c r="R7" s="43" t="n">
        <f aca="false">'Chart Data'!Q6</f>
        <v>0</v>
      </c>
      <c r="S7" s="43" t="n">
        <f aca="false">'Chart Data'!R6</f>
        <v>0</v>
      </c>
      <c r="T7" s="43" t="n">
        <f aca="false">'Chart Data'!S6</f>
        <v>0</v>
      </c>
      <c r="U7" s="43" t="n">
        <f aca="false">'Chart Data'!T6</f>
        <v>0</v>
      </c>
      <c r="V7" s="43" t="n">
        <f aca="false">'Chart Data'!U6</f>
        <v>0</v>
      </c>
      <c r="W7" s="43" t="n">
        <f aca="false">'Chart Data'!V6</f>
        <v>0</v>
      </c>
      <c r="X7" s="43" t="n">
        <f aca="false">'Chart Data'!W6</f>
        <v>0</v>
      </c>
      <c r="Y7" s="43" t="n">
        <f aca="false">'Chart Data'!X6</f>
        <v>0</v>
      </c>
      <c r="Z7" s="43" t="n">
        <f aca="false">'Chart Data'!Y6</f>
        <v>0</v>
      </c>
      <c r="AA7" s="44" t="n">
        <f aca="false">IFERROR(INDEX('Driver Standings'!$E$2:$E$23,MATCH(A7,'Driver Standings'!$B$2:$B$23,0)),0)</f>
        <v>17</v>
      </c>
    </row>
    <row r="8" customFormat="false" ht="15.75" hidden="false" customHeight="true" outlineLevel="0" collapsed="false">
      <c r="A8" s="45" t="s">
        <v>52</v>
      </c>
      <c r="B8" s="46" t="s">
        <v>105</v>
      </c>
      <c r="C8" s="47" t="n">
        <f aca="false">'Chart Data'!B7</f>
        <v>10</v>
      </c>
      <c r="D8" s="47" t="n">
        <f aca="false">'Chart Data'!C7</f>
        <v>5</v>
      </c>
      <c r="E8" s="47" t="n">
        <f aca="false">'Chart Data'!D7</f>
        <v>10</v>
      </c>
      <c r="F8" s="47" t="n">
        <f aca="false">'Chart Data'!E7</f>
        <v>0</v>
      </c>
      <c r="G8" s="47" t="n">
        <f aca="false">'Chart Data'!F7</f>
        <v>0</v>
      </c>
      <c r="H8" s="47" t="n">
        <f aca="false">'Chart Data'!G7</f>
        <v>0</v>
      </c>
      <c r="I8" s="47" t="n">
        <f aca="false">'Chart Data'!H7</f>
        <v>0</v>
      </c>
      <c r="J8" s="47" t="n">
        <f aca="false">'Chart Data'!I7</f>
        <v>0</v>
      </c>
      <c r="K8" s="47" t="n">
        <f aca="false">'Chart Data'!J7</f>
        <v>0</v>
      </c>
      <c r="L8" s="47" t="n">
        <f aca="false">'Chart Data'!K7</f>
        <v>0</v>
      </c>
      <c r="M8" s="47" t="n">
        <f aca="false">'Chart Data'!L7</f>
        <v>0</v>
      </c>
      <c r="N8" s="47" t="n">
        <f aca="false">'Chart Data'!M7</f>
        <v>0</v>
      </c>
      <c r="O8" s="47" t="n">
        <f aca="false">'Chart Data'!N7</f>
        <v>0</v>
      </c>
      <c r="P8" s="47" t="n">
        <f aca="false">'Chart Data'!O7</f>
        <v>0</v>
      </c>
      <c r="Q8" s="47" t="n">
        <f aca="false">'Chart Data'!P7</f>
        <v>0</v>
      </c>
      <c r="R8" s="47" t="n">
        <f aca="false">'Chart Data'!Q7</f>
        <v>0</v>
      </c>
      <c r="S8" s="47" t="n">
        <f aca="false">'Chart Data'!R7</f>
        <v>0</v>
      </c>
      <c r="T8" s="47" t="n">
        <f aca="false">'Chart Data'!S7</f>
        <v>0</v>
      </c>
      <c r="U8" s="47" t="n">
        <f aca="false">'Chart Data'!T7</f>
        <v>0</v>
      </c>
      <c r="V8" s="47" t="n">
        <f aca="false">'Chart Data'!U7</f>
        <v>0</v>
      </c>
      <c r="W8" s="47" t="n">
        <f aca="false">'Chart Data'!V7</f>
        <v>0</v>
      </c>
      <c r="X8" s="47" t="n">
        <f aca="false">'Chart Data'!W7</f>
        <v>0</v>
      </c>
      <c r="Y8" s="47" t="n">
        <f aca="false">'Chart Data'!X7</f>
        <v>0</v>
      </c>
      <c r="Z8" s="47" t="n">
        <f aca="false">'Chart Data'!Y7</f>
        <v>0</v>
      </c>
      <c r="AA8" s="48" t="n">
        <f aca="false">IFERROR(INDEX('Driver Standings'!$E$2:$E$23,MATCH(A8,'Driver Standings'!$B$2:$B$23,0)),0)</f>
        <v>25</v>
      </c>
    </row>
    <row r="9" customFormat="false" ht="15.75" hidden="false" customHeight="true" outlineLevel="0" collapsed="false">
      <c r="A9" s="49" t="s">
        <v>57</v>
      </c>
      <c r="B9" s="50" t="s">
        <v>106</v>
      </c>
      <c r="C9" s="51" t="n">
        <f aca="false">'Chart Data'!B8</f>
        <v>1</v>
      </c>
      <c r="D9" s="51" t="n">
        <f aca="false">'Chart Data'!C8</f>
        <v>8</v>
      </c>
      <c r="E9" s="51" t="n">
        <f aca="false">'Chart Data'!D8</f>
        <v>6</v>
      </c>
      <c r="F9" s="51" t="n">
        <f aca="false">'Chart Data'!E8</f>
        <v>0</v>
      </c>
      <c r="G9" s="51" t="n">
        <f aca="false">'Chart Data'!F8</f>
        <v>0</v>
      </c>
      <c r="H9" s="51" t="n">
        <f aca="false">'Chart Data'!G8</f>
        <v>0</v>
      </c>
      <c r="I9" s="51" t="n">
        <f aca="false">'Chart Data'!H8</f>
        <v>0</v>
      </c>
      <c r="J9" s="51" t="n">
        <f aca="false">'Chart Data'!I8</f>
        <v>0</v>
      </c>
      <c r="K9" s="51" t="n">
        <f aca="false">'Chart Data'!J8</f>
        <v>0</v>
      </c>
      <c r="L9" s="51" t="n">
        <f aca="false">'Chart Data'!K8</f>
        <v>0</v>
      </c>
      <c r="M9" s="51" t="n">
        <f aca="false">'Chart Data'!L8</f>
        <v>0</v>
      </c>
      <c r="N9" s="51" t="n">
        <f aca="false">'Chart Data'!M8</f>
        <v>0</v>
      </c>
      <c r="O9" s="51" t="n">
        <f aca="false">'Chart Data'!N8</f>
        <v>0</v>
      </c>
      <c r="P9" s="51" t="n">
        <f aca="false">'Chart Data'!O8</f>
        <v>0</v>
      </c>
      <c r="Q9" s="51" t="n">
        <f aca="false">'Chart Data'!P8</f>
        <v>0</v>
      </c>
      <c r="R9" s="51" t="n">
        <f aca="false">'Chart Data'!Q8</f>
        <v>0</v>
      </c>
      <c r="S9" s="51" t="n">
        <f aca="false">'Chart Data'!R8</f>
        <v>0</v>
      </c>
      <c r="T9" s="51" t="n">
        <f aca="false">'Chart Data'!S8</f>
        <v>0</v>
      </c>
      <c r="U9" s="51" t="n">
        <f aca="false">'Chart Data'!T8</f>
        <v>0</v>
      </c>
      <c r="V9" s="51" t="n">
        <f aca="false">'Chart Data'!U8</f>
        <v>0</v>
      </c>
      <c r="W9" s="51" t="n">
        <f aca="false">'Chart Data'!V8</f>
        <v>0</v>
      </c>
      <c r="X9" s="51" t="n">
        <f aca="false">'Chart Data'!W8</f>
        <v>0</v>
      </c>
      <c r="Y9" s="51" t="n">
        <f aca="false">'Chart Data'!X8</f>
        <v>0</v>
      </c>
      <c r="Z9" s="51" t="n">
        <f aca="false">'Chart Data'!Y8</f>
        <v>0</v>
      </c>
      <c r="AA9" s="52" t="n">
        <f aca="false">IFERROR(INDEX('Driver Standings'!$E$2:$E$23,MATCH(A9,'Driver Standings'!$B$2:$B$23,0)),0)</f>
        <v>15</v>
      </c>
    </row>
    <row r="10" customFormat="false" ht="15.75" hidden="false" customHeight="true" outlineLevel="0" collapsed="false">
      <c r="A10" s="53" t="s">
        <v>53</v>
      </c>
      <c r="B10" s="54" t="s">
        <v>107</v>
      </c>
      <c r="C10" s="55" t="n">
        <f aca="false">'Chart Data'!B9</f>
        <v>8</v>
      </c>
      <c r="D10" s="55" t="n">
        <f aca="false">'Chart Data'!C9</f>
        <v>0</v>
      </c>
      <c r="E10" s="55" t="n">
        <f aca="false">'Chart Data'!D9</f>
        <v>4</v>
      </c>
      <c r="F10" s="55" t="n">
        <f aca="false">'Chart Data'!E9</f>
        <v>0</v>
      </c>
      <c r="G10" s="55" t="n">
        <f aca="false">'Chart Data'!F9</f>
        <v>0</v>
      </c>
      <c r="H10" s="55" t="n">
        <f aca="false">'Chart Data'!G9</f>
        <v>0</v>
      </c>
      <c r="I10" s="55" t="n">
        <f aca="false">'Chart Data'!H9</f>
        <v>0</v>
      </c>
      <c r="J10" s="55" t="n">
        <f aca="false">'Chart Data'!I9</f>
        <v>0</v>
      </c>
      <c r="K10" s="55" t="n">
        <f aca="false">'Chart Data'!J9</f>
        <v>0</v>
      </c>
      <c r="L10" s="55" t="n">
        <f aca="false">'Chart Data'!K9</f>
        <v>0</v>
      </c>
      <c r="M10" s="55" t="n">
        <f aca="false">'Chart Data'!L9</f>
        <v>0</v>
      </c>
      <c r="N10" s="55" t="n">
        <f aca="false">'Chart Data'!M9</f>
        <v>0</v>
      </c>
      <c r="O10" s="55" t="n">
        <f aca="false">'Chart Data'!N9</f>
        <v>0</v>
      </c>
      <c r="P10" s="55" t="n">
        <f aca="false">'Chart Data'!O9</f>
        <v>0</v>
      </c>
      <c r="Q10" s="55" t="n">
        <f aca="false">'Chart Data'!P9</f>
        <v>0</v>
      </c>
      <c r="R10" s="55" t="n">
        <f aca="false">'Chart Data'!Q9</f>
        <v>0</v>
      </c>
      <c r="S10" s="55" t="n">
        <f aca="false">'Chart Data'!R9</f>
        <v>0</v>
      </c>
      <c r="T10" s="55" t="n">
        <f aca="false">'Chart Data'!S9</f>
        <v>0</v>
      </c>
      <c r="U10" s="55" t="n">
        <f aca="false">'Chart Data'!T9</f>
        <v>0</v>
      </c>
      <c r="V10" s="55" t="n">
        <f aca="false">'Chart Data'!U9</f>
        <v>0</v>
      </c>
      <c r="W10" s="55" t="n">
        <f aca="false">'Chart Data'!V9</f>
        <v>0</v>
      </c>
      <c r="X10" s="55" t="n">
        <f aca="false">'Chart Data'!W9</f>
        <v>0</v>
      </c>
      <c r="Y10" s="55" t="n">
        <f aca="false">'Chart Data'!X9</f>
        <v>0</v>
      </c>
      <c r="Z10" s="55" t="n">
        <f aca="false">'Chart Data'!Y9</f>
        <v>0</v>
      </c>
      <c r="AA10" s="56" t="n">
        <f aca="false">IFERROR(INDEX('Driver Standings'!$E$2:$E$23,MATCH(A10,'Driver Standings'!$B$2:$B$23,0)),0)</f>
        <v>12</v>
      </c>
    </row>
    <row r="11" customFormat="false" ht="15.75" hidden="false" customHeight="true" outlineLevel="0" collapsed="false">
      <c r="A11" s="57" t="s">
        <v>61</v>
      </c>
      <c r="B11" s="58" t="s">
        <v>108</v>
      </c>
      <c r="C11" s="59" t="n">
        <f aca="false">'Chart Data'!B10</f>
        <v>0</v>
      </c>
      <c r="D11" s="59" t="n">
        <f aca="false">'Chart Data'!C10</f>
        <v>8</v>
      </c>
      <c r="E11" s="59" t="n">
        <f aca="false">'Chart Data'!D10</f>
        <v>2</v>
      </c>
      <c r="F11" s="59" t="n">
        <f aca="false">'Chart Data'!E10</f>
        <v>0</v>
      </c>
      <c r="G11" s="59" t="n">
        <f aca="false">'Chart Data'!F10</f>
        <v>0</v>
      </c>
      <c r="H11" s="59" t="n">
        <f aca="false">'Chart Data'!G10</f>
        <v>0</v>
      </c>
      <c r="I11" s="59" t="n">
        <f aca="false">'Chart Data'!H10</f>
        <v>0</v>
      </c>
      <c r="J11" s="59" t="n">
        <f aca="false">'Chart Data'!I10</f>
        <v>0</v>
      </c>
      <c r="K11" s="59" t="n">
        <f aca="false">'Chart Data'!J10</f>
        <v>0</v>
      </c>
      <c r="L11" s="59" t="n">
        <f aca="false">'Chart Data'!K10</f>
        <v>0</v>
      </c>
      <c r="M11" s="59" t="n">
        <f aca="false">'Chart Data'!L10</f>
        <v>0</v>
      </c>
      <c r="N11" s="59" t="n">
        <f aca="false">'Chart Data'!M10</f>
        <v>0</v>
      </c>
      <c r="O11" s="59" t="n">
        <f aca="false">'Chart Data'!N10</f>
        <v>0</v>
      </c>
      <c r="P11" s="59" t="n">
        <f aca="false">'Chart Data'!O10</f>
        <v>0</v>
      </c>
      <c r="Q11" s="59" t="n">
        <f aca="false">'Chart Data'!P10</f>
        <v>0</v>
      </c>
      <c r="R11" s="59" t="n">
        <f aca="false">'Chart Data'!Q10</f>
        <v>0</v>
      </c>
      <c r="S11" s="59" t="n">
        <f aca="false">'Chart Data'!R10</f>
        <v>0</v>
      </c>
      <c r="T11" s="59" t="n">
        <f aca="false">'Chart Data'!S10</f>
        <v>0</v>
      </c>
      <c r="U11" s="59" t="n">
        <f aca="false">'Chart Data'!T10</f>
        <v>0</v>
      </c>
      <c r="V11" s="59" t="n">
        <f aca="false">'Chart Data'!U10</f>
        <v>0</v>
      </c>
      <c r="W11" s="59" t="n">
        <f aca="false">'Chart Data'!V10</f>
        <v>0</v>
      </c>
      <c r="X11" s="59" t="n">
        <f aca="false">'Chart Data'!W10</f>
        <v>0</v>
      </c>
      <c r="Y11" s="59" t="n">
        <f aca="false">'Chart Data'!X10</f>
        <v>0</v>
      </c>
      <c r="Z11" s="59" t="n">
        <f aca="false">'Chart Data'!Y10</f>
        <v>0</v>
      </c>
      <c r="AA11" s="60" t="n">
        <f aca="false">IFERROR(INDEX('Driver Standings'!$E$2:$E$23,MATCH(A11,'Driver Standings'!$B$2:$B$23,0)),0)</f>
        <v>10</v>
      </c>
    </row>
    <row r="12" customFormat="false" ht="15.75" hidden="false" customHeight="true" outlineLevel="0" collapsed="false">
      <c r="A12" s="53" t="s">
        <v>62</v>
      </c>
      <c r="B12" s="54" t="s">
        <v>107</v>
      </c>
      <c r="C12" s="55" t="n">
        <f aca="false">'Chart Data'!B11</f>
        <v>0</v>
      </c>
      <c r="D12" s="55" t="n">
        <f aca="false">'Chart Data'!C11</f>
        <v>4</v>
      </c>
      <c r="E12" s="55" t="n">
        <f aca="false">'Chart Data'!D11</f>
        <v>0</v>
      </c>
      <c r="F12" s="55" t="n">
        <f aca="false">'Chart Data'!E11</f>
        <v>0</v>
      </c>
      <c r="G12" s="55" t="n">
        <f aca="false">'Chart Data'!F11</f>
        <v>0</v>
      </c>
      <c r="H12" s="55" t="n">
        <f aca="false">'Chart Data'!G11</f>
        <v>0</v>
      </c>
      <c r="I12" s="55" t="n">
        <f aca="false">'Chart Data'!H11</f>
        <v>0</v>
      </c>
      <c r="J12" s="55" t="n">
        <f aca="false">'Chart Data'!I11</f>
        <v>0</v>
      </c>
      <c r="K12" s="55" t="n">
        <f aca="false">'Chart Data'!J11</f>
        <v>0</v>
      </c>
      <c r="L12" s="55" t="n">
        <f aca="false">'Chart Data'!K11</f>
        <v>0</v>
      </c>
      <c r="M12" s="55" t="n">
        <f aca="false">'Chart Data'!L11</f>
        <v>0</v>
      </c>
      <c r="N12" s="55" t="n">
        <f aca="false">'Chart Data'!M11</f>
        <v>0</v>
      </c>
      <c r="O12" s="55" t="n">
        <f aca="false">'Chart Data'!N11</f>
        <v>0</v>
      </c>
      <c r="P12" s="55" t="n">
        <f aca="false">'Chart Data'!O11</f>
        <v>0</v>
      </c>
      <c r="Q12" s="55" t="n">
        <f aca="false">'Chart Data'!P11</f>
        <v>0</v>
      </c>
      <c r="R12" s="55" t="n">
        <f aca="false">'Chart Data'!Q11</f>
        <v>0</v>
      </c>
      <c r="S12" s="55" t="n">
        <f aca="false">'Chart Data'!R11</f>
        <v>0</v>
      </c>
      <c r="T12" s="55" t="n">
        <f aca="false">'Chart Data'!S11</f>
        <v>0</v>
      </c>
      <c r="U12" s="55" t="n">
        <f aca="false">'Chart Data'!T11</f>
        <v>0</v>
      </c>
      <c r="V12" s="55" t="n">
        <f aca="false">'Chart Data'!U11</f>
        <v>0</v>
      </c>
      <c r="W12" s="55" t="n">
        <f aca="false">'Chart Data'!V11</f>
        <v>0</v>
      </c>
      <c r="X12" s="55" t="n">
        <f aca="false">'Chart Data'!W11</f>
        <v>0</v>
      </c>
      <c r="Y12" s="55" t="n">
        <f aca="false">'Chart Data'!X11</f>
        <v>0</v>
      </c>
      <c r="Z12" s="55" t="n">
        <f aca="false">'Chart Data'!Y11</f>
        <v>0</v>
      </c>
      <c r="AA12" s="56" t="n">
        <f aca="false">IFERROR(INDEX('Driver Standings'!$E$2:$E$23,MATCH(A12,'Driver Standings'!$B$2:$B$23,0)),0)</f>
        <v>4</v>
      </c>
    </row>
    <row r="13" customFormat="false" ht="15.75" hidden="false" customHeight="true" outlineLevel="0" collapsed="false">
      <c r="A13" s="57" t="s">
        <v>55</v>
      </c>
      <c r="B13" s="58" t="s">
        <v>108</v>
      </c>
      <c r="C13" s="59" t="n">
        <f aca="false">'Chart Data'!B12</f>
        <v>4</v>
      </c>
      <c r="D13" s="59" t="n">
        <f aca="false">'Chart Data'!C12</f>
        <v>0</v>
      </c>
      <c r="E13" s="59" t="n">
        <f aca="false">'Chart Data'!D12</f>
        <v>0</v>
      </c>
      <c r="F13" s="59" t="n">
        <f aca="false">'Chart Data'!E12</f>
        <v>0</v>
      </c>
      <c r="G13" s="59" t="n">
        <f aca="false">'Chart Data'!F12</f>
        <v>0</v>
      </c>
      <c r="H13" s="59" t="n">
        <f aca="false">'Chart Data'!G12</f>
        <v>0</v>
      </c>
      <c r="I13" s="59" t="n">
        <f aca="false">'Chart Data'!H12</f>
        <v>0</v>
      </c>
      <c r="J13" s="59" t="n">
        <f aca="false">'Chart Data'!I12</f>
        <v>0</v>
      </c>
      <c r="K13" s="59" t="n">
        <f aca="false">'Chart Data'!J12</f>
        <v>0</v>
      </c>
      <c r="L13" s="59" t="n">
        <f aca="false">'Chart Data'!K12</f>
        <v>0</v>
      </c>
      <c r="M13" s="59" t="n">
        <f aca="false">'Chart Data'!L12</f>
        <v>0</v>
      </c>
      <c r="N13" s="59" t="n">
        <f aca="false">'Chart Data'!M12</f>
        <v>0</v>
      </c>
      <c r="O13" s="59" t="n">
        <f aca="false">'Chart Data'!N12</f>
        <v>0</v>
      </c>
      <c r="P13" s="59" t="n">
        <f aca="false">'Chart Data'!O12</f>
        <v>0</v>
      </c>
      <c r="Q13" s="59" t="n">
        <f aca="false">'Chart Data'!P12</f>
        <v>0</v>
      </c>
      <c r="R13" s="59" t="n">
        <f aca="false">'Chart Data'!Q12</f>
        <v>0</v>
      </c>
      <c r="S13" s="59" t="n">
        <f aca="false">'Chart Data'!R12</f>
        <v>0</v>
      </c>
      <c r="T13" s="59" t="n">
        <f aca="false">'Chart Data'!S12</f>
        <v>0</v>
      </c>
      <c r="U13" s="59" t="n">
        <f aca="false">'Chart Data'!T12</f>
        <v>0</v>
      </c>
      <c r="V13" s="59" t="n">
        <f aca="false">'Chart Data'!U12</f>
        <v>0</v>
      </c>
      <c r="W13" s="59" t="n">
        <f aca="false">'Chart Data'!V12</f>
        <v>0</v>
      </c>
      <c r="X13" s="59" t="n">
        <f aca="false">'Chart Data'!W12</f>
        <v>0</v>
      </c>
      <c r="Y13" s="59" t="n">
        <f aca="false">'Chart Data'!X12</f>
        <v>0</v>
      </c>
      <c r="Z13" s="59" t="n">
        <f aca="false">'Chart Data'!Y12</f>
        <v>0</v>
      </c>
      <c r="AA13" s="60" t="n">
        <f aca="false">IFERROR(INDEX('Driver Standings'!$E$2:$E$23,MATCH(A13,'Driver Standings'!$B$2:$B$23,0)),0)</f>
        <v>4</v>
      </c>
    </row>
    <row r="14" customFormat="false" ht="15.75" hidden="false" customHeight="true" outlineLevel="0" collapsed="false">
      <c r="A14" s="45" t="s">
        <v>68</v>
      </c>
      <c r="B14" s="46" t="s">
        <v>105</v>
      </c>
      <c r="C14" s="47" t="n">
        <f aca="false">'Chart Data'!B13</f>
        <v>0</v>
      </c>
      <c r="D14" s="47" t="n">
        <f aca="false">'Chart Data'!C13</f>
        <v>3</v>
      </c>
      <c r="E14" s="47" t="n">
        <f aca="false">'Chart Data'!D13</f>
        <v>18</v>
      </c>
      <c r="F14" s="47" t="n">
        <f aca="false">'Chart Data'!E13</f>
        <v>0</v>
      </c>
      <c r="G14" s="47" t="n">
        <f aca="false">'Chart Data'!F13</f>
        <v>0</v>
      </c>
      <c r="H14" s="47" t="n">
        <f aca="false">'Chart Data'!G13</f>
        <v>0</v>
      </c>
      <c r="I14" s="47" t="n">
        <f aca="false">'Chart Data'!H13</f>
        <v>0</v>
      </c>
      <c r="J14" s="47" t="n">
        <f aca="false">'Chart Data'!I13</f>
        <v>0</v>
      </c>
      <c r="K14" s="47" t="n">
        <f aca="false">'Chart Data'!J13</f>
        <v>0</v>
      </c>
      <c r="L14" s="47" t="n">
        <f aca="false">'Chart Data'!K13</f>
        <v>0</v>
      </c>
      <c r="M14" s="47" t="n">
        <f aca="false">'Chart Data'!L13</f>
        <v>0</v>
      </c>
      <c r="N14" s="47" t="n">
        <f aca="false">'Chart Data'!M13</f>
        <v>0</v>
      </c>
      <c r="O14" s="47" t="n">
        <f aca="false">'Chart Data'!N13</f>
        <v>0</v>
      </c>
      <c r="P14" s="47" t="n">
        <f aca="false">'Chart Data'!O13</f>
        <v>0</v>
      </c>
      <c r="Q14" s="47" t="n">
        <f aca="false">'Chart Data'!P13</f>
        <v>0</v>
      </c>
      <c r="R14" s="47" t="n">
        <f aca="false">'Chart Data'!Q13</f>
        <v>0</v>
      </c>
      <c r="S14" s="47" t="n">
        <f aca="false">'Chart Data'!R13</f>
        <v>0</v>
      </c>
      <c r="T14" s="47" t="n">
        <f aca="false">'Chart Data'!S13</f>
        <v>0</v>
      </c>
      <c r="U14" s="47" t="n">
        <f aca="false">'Chart Data'!T13</f>
        <v>0</v>
      </c>
      <c r="V14" s="47" t="n">
        <f aca="false">'Chart Data'!U13</f>
        <v>0</v>
      </c>
      <c r="W14" s="47" t="n">
        <f aca="false">'Chart Data'!V13</f>
        <v>0</v>
      </c>
      <c r="X14" s="47" t="n">
        <f aca="false">'Chart Data'!W13</f>
        <v>0</v>
      </c>
      <c r="Y14" s="47" t="n">
        <f aca="false">'Chart Data'!X13</f>
        <v>0</v>
      </c>
      <c r="Z14" s="47" t="n">
        <f aca="false">'Chart Data'!Y13</f>
        <v>0</v>
      </c>
      <c r="AA14" s="48" t="n">
        <f aca="false">IFERROR(INDEX('Driver Standings'!$E$2:$E$23,MATCH(A14,'Driver Standings'!$B$2:$B$23,0)),0)</f>
        <v>21</v>
      </c>
    </row>
    <row r="15" customFormat="false" ht="15.75" hidden="false" customHeight="true" outlineLevel="0" collapsed="false">
      <c r="A15" s="61" t="s">
        <v>63</v>
      </c>
      <c r="B15" s="62" t="s">
        <v>109</v>
      </c>
      <c r="C15" s="63" t="n">
        <f aca="false">'Chart Data'!B14</f>
        <v>0</v>
      </c>
      <c r="D15" s="63" t="n">
        <f aca="false">'Chart Data'!C14</f>
        <v>2</v>
      </c>
      <c r="E15" s="63" t="n">
        <f aca="false">'Chart Data'!D14</f>
        <v>0</v>
      </c>
      <c r="F15" s="63" t="n">
        <f aca="false">'Chart Data'!E14</f>
        <v>0</v>
      </c>
      <c r="G15" s="63" t="n">
        <f aca="false">'Chart Data'!F14</f>
        <v>0</v>
      </c>
      <c r="H15" s="63" t="n">
        <f aca="false">'Chart Data'!G14</f>
        <v>0</v>
      </c>
      <c r="I15" s="63" t="n">
        <f aca="false">'Chart Data'!H14</f>
        <v>0</v>
      </c>
      <c r="J15" s="63" t="n">
        <f aca="false">'Chart Data'!I14</f>
        <v>0</v>
      </c>
      <c r="K15" s="63" t="n">
        <f aca="false">'Chart Data'!J14</f>
        <v>0</v>
      </c>
      <c r="L15" s="63" t="n">
        <f aca="false">'Chart Data'!K14</f>
        <v>0</v>
      </c>
      <c r="M15" s="63" t="n">
        <f aca="false">'Chart Data'!L14</f>
        <v>0</v>
      </c>
      <c r="N15" s="63" t="n">
        <f aca="false">'Chart Data'!M14</f>
        <v>0</v>
      </c>
      <c r="O15" s="63" t="n">
        <f aca="false">'Chart Data'!N14</f>
        <v>0</v>
      </c>
      <c r="P15" s="63" t="n">
        <f aca="false">'Chart Data'!O14</f>
        <v>0</v>
      </c>
      <c r="Q15" s="63" t="n">
        <f aca="false">'Chart Data'!P14</f>
        <v>0</v>
      </c>
      <c r="R15" s="63" t="n">
        <f aca="false">'Chart Data'!Q14</f>
        <v>0</v>
      </c>
      <c r="S15" s="63" t="n">
        <f aca="false">'Chart Data'!R14</f>
        <v>0</v>
      </c>
      <c r="T15" s="63" t="n">
        <f aca="false">'Chart Data'!S14</f>
        <v>0</v>
      </c>
      <c r="U15" s="63" t="n">
        <f aca="false">'Chart Data'!T14</f>
        <v>0</v>
      </c>
      <c r="V15" s="63" t="n">
        <f aca="false">'Chart Data'!U14</f>
        <v>0</v>
      </c>
      <c r="W15" s="63" t="n">
        <f aca="false">'Chart Data'!V14</f>
        <v>0</v>
      </c>
      <c r="X15" s="63" t="n">
        <f aca="false">'Chart Data'!W14</f>
        <v>0</v>
      </c>
      <c r="Y15" s="63" t="n">
        <f aca="false">'Chart Data'!X14</f>
        <v>0</v>
      </c>
      <c r="Z15" s="63" t="n">
        <f aca="false">'Chart Data'!Y14</f>
        <v>0</v>
      </c>
      <c r="AA15" s="64" t="n">
        <f aca="false">IFERROR(INDEX('Driver Standings'!$E$2:$E$23,MATCH(A15,'Driver Standings'!$B$2:$B$23,0)),0)</f>
        <v>2</v>
      </c>
    </row>
    <row r="16" customFormat="false" ht="15.75" hidden="false" customHeight="true" outlineLevel="0" collapsed="false">
      <c r="A16" s="37" t="s">
        <v>56</v>
      </c>
      <c r="B16" s="38" t="s">
        <v>110</v>
      </c>
      <c r="C16" s="65" t="n">
        <f aca="false">'Chart Data'!B15</f>
        <v>2</v>
      </c>
      <c r="D16" s="65" t="n">
        <f aca="false">'Chart Data'!C15</f>
        <v>0</v>
      </c>
      <c r="E16" s="65" t="n">
        <f aca="false">'Chart Data'!D15</f>
        <v>0</v>
      </c>
      <c r="F16" s="65" t="n">
        <f aca="false">'Chart Data'!E15</f>
        <v>0</v>
      </c>
      <c r="G16" s="65" t="n">
        <f aca="false">'Chart Data'!F15</f>
        <v>0</v>
      </c>
      <c r="H16" s="65" t="n">
        <f aca="false">'Chart Data'!G15</f>
        <v>0</v>
      </c>
      <c r="I16" s="65" t="n">
        <f aca="false">'Chart Data'!H15</f>
        <v>0</v>
      </c>
      <c r="J16" s="65" t="n">
        <f aca="false">'Chart Data'!I15</f>
        <v>0</v>
      </c>
      <c r="K16" s="65" t="n">
        <f aca="false">'Chart Data'!J15</f>
        <v>0</v>
      </c>
      <c r="L16" s="65" t="n">
        <f aca="false">'Chart Data'!K15</f>
        <v>0</v>
      </c>
      <c r="M16" s="65" t="n">
        <f aca="false">'Chart Data'!L15</f>
        <v>0</v>
      </c>
      <c r="N16" s="65" t="n">
        <f aca="false">'Chart Data'!M15</f>
        <v>0</v>
      </c>
      <c r="O16" s="65" t="n">
        <f aca="false">'Chart Data'!N15</f>
        <v>0</v>
      </c>
      <c r="P16" s="65" t="n">
        <f aca="false">'Chart Data'!O15</f>
        <v>0</v>
      </c>
      <c r="Q16" s="65" t="n">
        <f aca="false">'Chart Data'!P15</f>
        <v>0</v>
      </c>
      <c r="R16" s="65" t="n">
        <f aca="false">'Chart Data'!Q15</f>
        <v>0</v>
      </c>
      <c r="S16" s="65" t="n">
        <f aca="false">'Chart Data'!R15</f>
        <v>0</v>
      </c>
      <c r="T16" s="65" t="n">
        <f aca="false">'Chart Data'!S15</f>
        <v>0</v>
      </c>
      <c r="U16" s="65" t="n">
        <f aca="false">'Chart Data'!T15</f>
        <v>0</v>
      </c>
      <c r="V16" s="65" t="n">
        <f aca="false">'Chart Data'!U15</f>
        <v>0</v>
      </c>
      <c r="W16" s="65" t="n">
        <f aca="false">'Chart Data'!V15</f>
        <v>0</v>
      </c>
      <c r="X16" s="65" t="n">
        <f aca="false">'Chart Data'!W15</f>
        <v>0</v>
      </c>
      <c r="Y16" s="65" t="n">
        <f aca="false">'Chart Data'!X15</f>
        <v>0</v>
      </c>
      <c r="Z16" s="65" t="n">
        <f aca="false">'Chart Data'!Y15</f>
        <v>0</v>
      </c>
      <c r="AA16" s="66" t="n">
        <f aca="false">IFERROR(INDEX('Driver Standings'!$E$2:$E$23,MATCH(A16,'Driver Standings'!$B$2:$B$23,0)),0)</f>
        <v>2</v>
      </c>
    </row>
    <row r="17" customFormat="false" ht="15.75" hidden="false" customHeight="true" outlineLevel="0" collapsed="false">
      <c r="A17" s="49" t="s">
        <v>64</v>
      </c>
      <c r="B17" s="50" t="s">
        <v>106</v>
      </c>
      <c r="C17" s="51" t="n">
        <f aca="false">'Chart Data'!B16</f>
        <v>0</v>
      </c>
      <c r="D17" s="51" t="n">
        <f aca="false">'Chart Data'!C16</f>
        <v>1</v>
      </c>
      <c r="E17" s="51" t="n">
        <f aca="false">'Chart Data'!D16</f>
        <v>0</v>
      </c>
      <c r="F17" s="51" t="n">
        <f aca="false">'Chart Data'!E16</f>
        <v>0</v>
      </c>
      <c r="G17" s="51" t="n">
        <f aca="false">'Chart Data'!F16</f>
        <v>0</v>
      </c>
      <c r="H17" s="51" t="n">
        <f aca="false">'Chart Data'!G16</f>
        <v>0</v>
      </c>
      <c r="I17" s="51" t="n">
        <f aca="false">'Chart Data'!H16</f>
        <v>0</v>
      </c>
      <c r="J17" s="51" t="n">
        <f aca="false">'Chart Data'!I16</f>
        <v>0</v>
      </c>
      <c r="K17" s="51" t="n">
        <f aca="false">'Chart Data'!J16</f>
        <v>0</v>
      </c>
      <c r="L17" s="51" t="n">
        <f aca="false">'Chart Data'!K16</f>
        <v>0</v>
      </c>
      <c r="M17" s="51" t="n">
        <f aca="false">'Chart Data'!L16</f>
        <v>0</v>
      </c>
      <c r="N17" s="51" t="n">
        <f aca="false">'Chart Data'!M16</f>
        <v>0</v>
      </c>
      <c r="O17" s="51" t="n">
        <f aca="false">'Chart Data'!N16</f>
        <v>0</v>
      </c>
      <c r="P17" s="51" t="n">
        <f aca="false">'Chart Data'!O16</f>
        <v>0</v>
      </c>
      <c r="Q17" s="51" t="n">
        <f aca="false">'Chart Data'!P16</f>
        <v>0</v>
      </c>
      <c r="R17" s="51" t="n">
        <f aca="false">'Chart Data'!Q16</f>
        <v>0</v>
      </c>
      <c r="S17" s="51" t="n">
        <f aca="false">'Chart Data'!R16</f>
        <v>0</v>
      </c>
      <c r="T17" s="51" t="n">
        <f aca="false">'Chart Data'!S16</f>
        <v>0</v>
      </c>
      <c r="U17" s="51" t="n">
        <f aca="false">'Chart Data'!T16</f>
        <v>0</v>
      </c>
      <c r="V17" s="51" t="n">
        <f aca="false">'Chart Data'!U16</f>
        <v>0</v>
      </c>
      <c r="W17" s="51" t="n">
        <f aca="false">'Chart Data'!V16</f>
        <v>0</v>
      </c>
      <c r="X17" s="51" t="n">
        <f aca="false">'Chart Data'!W16</f>
        <v>0</v>
      </c>
      <c r="Y17" s="51" t="n">
        <f aca="false">'Chart Data'!X16</f>
        <v>0</v>
      </c>
      <c r="Z17" s="51" t="n">
        <f aca="false">'Chart Data'!Y16</f>
        <v>0</v>
      </c>
      <c r="AA17" s="52" t="n">
        <f aca="false">IFERROR(INDEX('Driver Standings'!$E$2:$E$23,MATCH(A17,'Driver Standings'!$B$2:$B$23,0)),0)</f>
        <v>1</v>
      </c>
    </row>
    <row r="18" customFormat="false" ht="15.75" hidden="false" customHeight="true" outlineLevel="0" collapsed="false">
      <c r="A18" s="67" t="s">
        <v>111</v>
      </c>
      <c r="B18" s="68" t="s">
        <v>112</v>
      </c>
      <c r="C18" s="69" t="n">
        <f aca="false">'Chart Data'!B17</f>
        <v>0</v>
      </c>
      <c r="D18" s="69" t="n">
        <f aca="false">'Chart Data'!C17</f>
        <v>0</v>
      </c>
      <c r="E18" s="69" t="n">
        <f aca="false">'Chart Data'!D17</f>
        <v>0</v>
      </c>
      <c r="F18" s="69" t="n">
        <f aca="false">'Chart Data'!E17</f>
        <v>0</v>
      </c>
      <c r="G18" s="69" t="n">
        <f aca="false">'Chart Data'!F17</f>
        <v>0</v>
      </c>
      <c r="H18" s="69" t="n">
        <f aca="false">'Chart Data'!G17</f>
        <v>0</v>
      </c>
      <c r="I18" s="69" t="n">
        <f aca="false">'Chart Data'!H17</f>
        <v>0</v>
      </c>
      <c r="J18" s="69" t="n">
        <f aca="false">'Chart Data'!I17</f>
        <v>0</v>
      </c>
      <c r="K18" s="69" t="n">
        <f aca="false">'Chart Data'!J17</f>
        <v>0</v>
      </c>
      <c r="L18" s="69" t="n">
        <f aca="false">'Chart Data'!K17</f>
        <v>0</v>
      </c>
      <c r="M18" s="69" t="n">
        <f aca="false">'Chart Data'!L17</f>
        <v>0</v>
      </c>
      <c r="N18" s="69" t="n">
        <f aca="false">'Chart Data'!M17</f>
        <v>0</v>
      </c>
      <c r="O18" s="69" t="n">
        <f aca="false">'Chart Data'!N17</f>
        <v>0</v>
      </c>
      <c r="P18" s="69" t="n">
        <f aca="false">'Chart Data'!O17</f>
        <v>0</v>
      </c>
      <c r="Q18" s="69" t="n">
        <f aca="false">'Chart Data'!P17</f>
        <v>0</v>
      </c>
      <c r="R18" s="69" t="n">
        <f aca="false">'Chart Data'!Q17</f>
        <v>0</v>
      </c>
      <c r="S18" s="69" t="n">
        <f aca="false">'Chart Data'!R17</f>
        <v>0</v>
      </c>
      <c r="T18" s="69" t="n">
        <f aca="false">'Chart Data'!S17</f>
        <v>0</v>
      </c>
      <c r="U18" s="69" t="n">
        <f aca="false">'Chart Data'!T17</f>
        <v>0</v>
      </c>
      <c r="V18" s="69" t="n">
        <f aca="false">'Chart Data'!U17</f>
        <v>0</v>
      </c>
      <c r="W18" s="69" t="n">
        <f aca="false">'Chart Data'!V17</f>
        <v>0</v>
      </c>
      <c r="X18" s="69" t="n">
        <f aca="false">'Chart Data'!W17</f>
        <v>0</v>
      </c>
      <c r="Y18" s="69" t="n">
        <f aca="false">'Chart Data'!X17</f>
        <v>0</v>
      </c>
      <c r="Z18" s="69" t="n">
        <f aca="false">'Chart Data'!Y17</f>
        <v>0</v>
      </c>
      <c r="AA18" s="70" t="n">
        <f aca="false">IFERROR(INDEX('Driver Standings'!$E$2:$E$23,MATCH(A18,'Driver Standings'!$B$2:$B$23,0)),0)</f>
        <v>0</v>
      </c>
    </row>
    <row r="19" customFormat="false" ht="15.75" hidden="false" customHeight="true" outlineLevel="0" collapsed="false">
      <c r="A19" s="67" t="s">
        <v>113</v>
      </c>
      <c r="B19" s="68" t="s">
        <v>112</v>
      </c>
      <c r="C19" s="69" t="n">
        <f aca="false">'Chart Data'!B18</f>
        <v>0</v>
      </c>
      <c r="D19" s="69" t="n">
        <f aca="false">'Chart Data'!C18</f>
        <v>0</v>
      </c>
      <c r="E19" s="69" t="n">
        <f aca="false">'Chart Data'!D18</f>
        <v>0</v>
      </c>
      <c r="F19" s="69" t="n">
        <f aca="false">'Chart Data'!E18</f>
        <v>0</v>
      </c>
      <c r="G19" s="69" t="n">
        <f aca="false">'Chart Data'!F18</f>
        <v>0</v>
      </c>
      <c r="H19" s="69" t="n">
        <f aca="false">'Chart Data'!G18</f>
        <v>0</v>
      </c>
      <c r="I19" s="69" t="n">
        <f aca="false">'Chart Data'!H18</f>
        <v>0</v>
      </c>
      <c r="J19" s="69" t="n">
        <f aca="false">'Chart Data'!I18</f>
        <v>0</v>
      </c>
      <c r="K19" s="69" t="n">
        <f aca="false">'Chart Data'!J18</f>
        <v>0</v>
      </c>
      <c r="L19" s="69" t="n">
        <f aca="false">'Chart Data'!K18</f>
        <v>0</v>
      </c>
      <c r="M19" s="69" t="n">
        <f aca="false">'Chart Data'!L18</f>
        <v>0</v>
      </c>
      <c r="N19" s="69" t="n">
        <f aca="false">'Chart Data'!M18</f>
        <v>0</v>
      </c>
      <c r="O19" s="69" t="n">
        <f aca="false">'Chart Data'!N18</f>
        <v>0</v>
      </c>
      <c r="P19" s="69" t="n">
        <f aca="false">'Chart Data'!O18</f>
        <v>0</v>
      </c>
      <c r="Q19" s="69" t="n">
        <f aca="false">'Chart Data'!P18</f>
        <v>0</v>
      </c>
      <c r="R19" s="69" t="n">
        <f aca="false">'Chart Data'!Q18</f>
        <v>0</v>
      </c>
      <c r="S19" s="69" t="n">
        <f aca="false">'Chart Data'!R18</f>
        <v>0</v>
      </c>
      <c r="T19" s="69" t="n">
        <f aca="false">'Chart Data'!S18</f>
        <v>0</v>
      </c>
      <c r="U19" s="69" t="n">
        <f aca="false">'Chart Data'!T18</f>
        <v>0</v>
      </c>
      <c r="V19" s="69" t="n">
        <f aca="false">'Chart Data'!U18</f>
        <v>0</v>
      </c>
      <c r="W19" s="69" t="n">
        <f aca="false">'Chart Data'!V18</f>
        <v>0</v>
      </c>
      <c r="X19" s="69" t="n">
        <f aca="false">'Chart Data'!W18</f>
        <v>0</v>
      </c>
      <c r="Y19" s="69" t="n">
        <f aca="false">'Chart Data'!X18</f>
        <v>0</v>
      </c>
      <c r="Z19" s="69" t="n">
        <f aca="false">'Chart Data'!Y18</f>
        <v>0</v>
      </c>
      <c r="AA19" s="70" t="n">
        <f aca="false">IFERROR(INDEX('Driver Standings'!$E$2:$E$23,MATCH(A19,'Driver Standings'!$B$2:$B$23,0)),0)</f>
        <v>0</v>
      </c>
    </row>
    <row r="20" customFormat="false" ht="15.75" hidden="false" customHeight="true" outlineLevel="0" collapsed="false">
      <c r="A20" s="61" t="s">
        <v>114</v>
      </c>
      <c r="B20" s="62" t="s">
        <v>109</v>
      </c>
      <c r="C20" s="63" t="n">
        <f aca="false">'Chart Data'!B19</f>
        <v>0</v>
      </c>
      <c r="D20" s="63" t="n">
        <f aca="false">'Chart Data'!C19</f>
        <v>0</v>
      </c>
      <c r="E20" s="63" t="n">
        <f aca="false">'Chart Data'!D19</f>
        <v>0</v>
      </c>
      <c r="F20" s="63" t="n">
        <f aca="false">'Chart Data'!E19</f>
        <v>0</v>
      </c>
      <c r="G20" s="63" t="n">
        <f aca="false">'Chart Data'!F19</f>
        <v>0</v>
      </c>
      <c r="H20" s="63" t="n">
        <f aca="false">'Chart Data'!G19</f>
        <v>0</v>
      </c>
      <c r="I20" s="63" t="n">
        <f aca="false">'Chart Data'!H19</f>
        <v>0</v>
      </c>
      <c r="J20" s="63" t="n">
        <f aca="false">'Chart Data'!I19</f>
        <v>0</v>
      </c>
      <c r="K20" s="63" t="n">
        <f aca="false">'Chart Data'!J19</f>
        <v>0</v>
      </c>
      <c r="L20" s="63" t="n">
        <f aca="false">'Chart Data'!K19</f>
        <v>0</v>
      </c>
      <c r="M20" s="63" t="n">
        <f aca="false">'Chart Data'!L19</f>
        <v>0</v>
      </c>
      <c r="N20" s="63" t="n">
        <f aca="false">'Chart Data'!M19</f>
        <v>0</v>
      </c>
      <c r="O20" s="63" t="n">
        <f aca="false">'Chart Data'!N19</f>
        <v>0</v>
      </c>
      <c r="P20" s="63" t="n">
        <f aca="false">'Chart Data'!O19</f>
        <v>0</v>
      </c>
      <c r="Q20" s="63" t="n">
        <f aca="false">'Chart Data'!P19</f>
        <v>0</v>
      </c>
      <c r="R20" s="63" t="n">
        <f aca="false">'Chart Data'!Q19</f>
        <v>0</v>
      </c>
      <c r="S20" s="63" t="n">
        <f aca="false">'Chart Data'!R19</f>
        <v>0</v>
      </c>
      <c r="T20" s="63" t="n">
        <f aca="false">'Chart Data'!S19</f>
        <v>0</v>
      </c>
      <c r="U20" s="63" t="n">
        <f aca="false">'Chart Data'!T19</f>
        <v>0</v>
      </c>
      <c r="V20" s="63" t="n">
        <f aca="false">'Chart Data'!U19</f>
        <v>0</v>
      </c>
      <c r="W20" s="63" t="n">
        <f aca="false">'Chart Data'!V19</f>
        <v>0</v>
      </c>
      <c r="X20" s="63" t="n">
        <f aca="false">'Chart Data'!W19</f>
        <v>0</v>
      </c>
      <c r="Y20" s="63" t="n">
        <f aca="false">'Chart Data'!X19</f>
        <v>0</v>
      </c>
      <c r="Z20" s="63" t="n">
        <f aca="false">'Chart Data'!Y19</f>
        <v>0</v>
      </c>
      <c r="AA20" s="64" t="n">
        <f aca="false">IFERROR(INDEX('Driver Standings'!$E$2:$E$23,MATCH(A20,'Driver Standings'!$B$2:$B$23,0)),0)</f>
        <v>0</v>
      </c>
    </row>
    <row r="21" customFormat="false" ht="15.75" hidden="false" customHeight="true" outlineLevel="0" collapsed="false">
      <c r="A21" s="41" t="s">
        <v>69</v>
      </c>
      <c r="B21" s="42" t="s">
        <v>104</v>
      </c>
      <c r="C21" s="43" t="n">
        <f aca="false">'Chart Data'!B20</f>
        <v>0</v>
      </c>
      <c r="D21" s="43" t="n">
        <f aca="false">'Chart Data'!C20</f>
        <v>0</v>
      </c>
      <c r="E21" s="43" t="n">
        <f aca="false">'Chart Data'!D20</f>
        <v>1</v>
      </c>
      <c r="F21" s="43" t="n">
        <f aca="false">'Chart Data'!E20</f>
        <v>0</v>
      </c>
      <c r="G21" s="43" t="n">
        <f aca="false">'Chart Data'!F20</f>
        <v>0</v>
      </c>
      <c r="H21" s="43" t="n">
        <f aca="false">'Chart Data'!G20</f>
        <v>0</v>
      </c>
      <c r="I21" s="43" t="n">
        <f aca="false">'Chart Data'!H20</f>
        <v>0</v>
      </c>
      <c r="J21" s="43" t="n">
        <f aca="false">'Chart Data'!I20</f>
        <v>0</v>
      </c>
      <c r="K21" s="43" t="n">
        <f aca="false">'Chart Data'!J20</f>
        <v>0</v>
      </c>
      <c r="L21" s="43" t="n">
        <f aca="false">'Chart Data'!K20</f>
        <v>0</v>
      </c>
      <c r="M21" s="43" t="n">
        <f aca="false">'Chart Data'!L20</f>
        <v>0</v>
      </c>
      <c r="N21" s="43" t="n">
        <f aca="false">'Chart Data'!M20</f>
        <v>0</v>
      </c>
      <c r="O21" s="43" t="n">
        <f aca="false">'Chart Data'!N20</f>
        <v>0</v>
      </c>
      <c r="P21" s="43" t="n">
        <f aca="false">'Chart Data'!O20</f>
        <v>0</v>
      </c>
      <c r="Q21" s="43" t="n">
        <f aca="false">'Chart Data'!P20</f>
        <v>0</v>
      </c>
      <c r="R21" s="43" t="n">
        <f aca="false">'Chart Data'!Q20</f>
        <v>0</v>
      </c>
      <c r="S21" s="43" t="n">
        <f aca="false">'Chart Data'!R20</f>
        <v>0</v>
      </c>
      <c r="T21" s="43" t="n">
        <f aca="false">'Chart Data'!S20</f>
        <v>0</v>
      </c>
      <c r="U21" s="43" t="n">
        <f aca="false">'Chart Data'!T20</f>
        <v>0</v>
      </c>
      <c r="V21" s="43" t="n">
        <f aca="false">'Chart Data'!U20</f>
        <v>0</v>
      </c>
      <c r="W21" s="43" t="n">
        <f aca="false">'Chart Data'!V20</f>
        <v>0</v>
      </c>
      <c r="X21" s="43" t="n">
        <f aca="false">'Chart Data'!W20</f>
        <v>0</v>
      </c>
      <c r="Y21" s="43" t="n">
        <f aca="false">'Chart Data'!X20</f>
        <v>0</v>
      </c>
      <c r="Z21" s="43" t="n">
        <f aca="false">'Chart Data'!Y20</f>
        <v>0</v>
      </c>
      <c r="AA21" s="44" t="n">
        <f aca="false">IFERROR(INDEX('Driver Standings'!$E$2:$E$23,MATCH(A21,'Driver Standings'!$B$2:$B$23,0)),0)</f>
        <v>1</v>
      </c>
    </row>
    <row r="22" customFormat="false" ht="15.75" hidden="false" customHeight="true" outlineLevel="0" collapsed="false">
      <c r="A22" s="37" t="s">
        <v>115</v>
      </c>
      <c r="B22" s="38" t="s">
        <v>110</v>
      </c>
      <c r="C22" s="65" t="n">
        <f aca="false">'Chart Data'!B21</f>
        <v>0</v>
      </c>
      <c r="D22" s="65" t="n">
        <f aca="false">'Chart Data'!C21</f>
        <v>0</v>
      </c>
      <c r="E22" s="65" t="n">
        <f aca="false">'Chart Data'!D21</f>
        <v>0</v>
      </c>
      <c r="F22" s="65" t="n">
        <f aca="false">'Chart Data'!E21</f>
        <v>0</v>
      </c>
      <c r="G22" s="65" t="n">
        <f aca="false">'Chart Data'!F21</f>
        <v>0</v>
      </c>
      <c r="H22" s="65" t="n">
        <f aca="false">'Chart Data'!G21</f>
        <v>0</v>
      </c>
      <c r="I22" s="65" t="n">
        <f aca="false">'Chart Data'!H21</f>
        <v>0</v>
      </c>
      <c r="J22" s="65" t="n">
        <f aca="false">'Chart Data'!I21</f>
        <v>0</v>
      </c>
      <c r="K22" s="65" t="n">
        <f aca="false">'Chart Data'!J21</f>
        <v>0</v>
      </c>
      <c r="L22" s="65" t="n">
        <f aca="false">'Chart Data'!K21</f>
        <v>0</v>
      </c>
      <c r="M22" s="65" t="n">
        <f aca="false">'Chart Data'!L21</f>
        <v>0</v>
      </c>
      <c r="N22" s="65" t="n">
        <f aca="false">'Chart Data'!M21</f>
        <v>0</v>
      </c>
      <c r="O22" s="65" t="n">
        <f aca="false">'Chart Data'!N21</f>
        <v>0</v>
      </c>
      <c r="P22" s="65" t="n">
        <f aca="false">'Chart Data'!O21</f>
        <v>0</v>
      </c>
      <c r="Q22" s="65" t="n">
        <f aca="false">'Chart Data'!P21</f>
        <v>0</v>
      </c>
      <c r="R22" s="65" t="n">
        <f aca="false">'Chart Data'!Q21</f>
        <v>0</v>
      </c>
      <c r="S22" s="65" t="n">
        <f aca="false">'Chart Data'!R21</f>
        <v>0</v>
      </c>
      <c r="T22" s="65" t="n">
        <f aca="false">'Chart Data'!S21</f>
        <v>0</v>
      </c>
      <c r="U22" s="65" t="n">
        <f aca="false">'Chart Data'!T21</f>
        <v>0</v>
      </c>
      <c r="V22" s="65" t="n">
        <f aca="false">'Chart Data'!U21</f>
        <v>0</v>
      </c>
      <c r="W22" s="65" t="n">
        <f aca="false">'Chart Data'!V21</f>
        <v>0</v>
      </c>
      <c r="X22" s="65" t="n">
        <f aca="false">'Chart Data'!W21</f>
        <v>0</v>
      </c>
      <c r="Y22" s="65" t="n">
        <f aca="false">'Chart Data'!X21</f>
        <v>0</v>
      </c>
      <c r="Z22" s="65" t="n">
        <f aca="false">'Chart Data'!Y21</f>
        <v>0</v>
      </c>
      <c r="AA22" s="66" t="n">
        <f aca="false">IFERROR(INDEX('Driver Standings'!$E$2:$E$23,MATCH(A22,'Driver Standings'!$B$2:$B$23,0)),0)</f>
        <v>0</v>
      </c>
    </row>
    <row r="23" customFormat="false" ht="15.75" hidden="false" customHeight="true" outlineLevel="0" collapsed="false">
      <c r="A23" s="71" t="s">
        <v>116</v>
      </c>
      <c r="B23" s="72" t="s">
        <v>117</v>
      </c>
      <c r="C23" s="73" t="n">
        <f aca="false">'Chart Data'!B22</f>
        <v>0</v>
      </c>
      <c r="D23" s="73" t="n">
        <f aca="false">'Chart Data'!C22</f>
        <v>0</v>
      </c>
      <c r="E23" s="73" t="n">
        <f aca="false">'Chart Data'!D22</f>
        <v>0</v>
      </c>
      <c r="F23" s="73" t="n">
        <f aca="false">'Chart Data'!E22</f>
        <v>0</v>
      </c>
      <c r="G23" s="73" t="n">
        <f aca="false">'Chart Data'!F22</f>
        <v>0</v>
      </c>
      <c r="H23" s="73" t="n">
        <f aca="false">'Chart Data'!G22</f>
        <v>0</v>
      </c>
      <c r="I23" s="73" t="n">
        <f aca="false">'Chart Data'!H22</f>
        <v>0</v>
      </c>
      <c r="J23" s="73" t="n">
        <f aca="false">'Chart Data'!I22</f>
        <v>0</v>
      </c>
      <c r="K23" s="73" t="n">
        <f aca="false">'Chart Data'!J22</f>
        <v>0</v>
      </c>
      <c r="L23" s="73" t="n">
        <f aca="false">'Chart Data'!K22</f>
        <v>0</v>
      </c>
      <c r="M23" s="73" t="n">
        <f aca="false">'Chart Data'!L22</f>
        <v>0</v>
      </c>
      <c r="N23" s="73" t="n">
        <f aca="false">'Chart Data'!M22</f>
        <v>0</v>
      </c>
      <c r="O23" s="73" t="n">
        <f aca="false">'Chart Data'!N22</f>
        <v>0</v>
      </c>
      <c r="P23" s="73" t="n">
        <f aca="false">'Chart Data'!O22</f>
        <v>0</v>
      </c>
      <c r="Q23" s="73" t="n">
        <f aca="false">'Chart Data'!P22</f>
        <v>0</v>
      </c>
      <c r="R23" s="73" t="n">
        <f aca="false">'Chart Data'!Q22</f>
        <v>0</v>
      </c>
      <c r="S23" s="73" t="n">
        <f aca="false">'Chart Data'!R22</f>
        <v>0</v>
      </c>
      <c r="T23" s="73" t="n">
        <f aca="false">'Chart Data'!S22</f>
        <v>0</v>
      </c>
      <c r="U23" s="73" t="n">
        <f aca="false">'Chart Data'!T22</f>
        <v>0</v>
      </c>
      <c r="V23" s="73" t="n">
        <f aca="false">'Chart Data'!U22</f>
        <v>0</v>
      </c>
      <c r="W23" s="73" t="n">
        <f aca="false">'Chart Data'!V22</f>
        <v>0</v>
      </c>
      <c r="X23" s="73" t="n">
        <f aca="false">'Chart Data'!W22</f>
        <v>0</v>
      </c>
      <c r="Y23" s="73" t="n">
        <f aca="false">'Chart Data'!X22</f>
        <v>0</v>
      </c>
      <c r="Z23" s="73" t="n">
        <f aca="false">'Chart Data'!Y22</f>
        <v>0</v>
      </c>
      <c r="AA23" s="74" t="n">
        <f aca="false">IFERROR(INDEX('Driver Standings'!$E$2:$E$23,MATCH(A23,'Driver Standings'!$B$2:$B$23,0)),0)</f>
        <v>0</v>
      </c>
    </row>
    <row r="24" customFormat="false" ht="15.75" hidden="false" customHeight="true" outlineLevel="0" collapsed="false">
      <c r="A24" s="71" t="s">
        <v>118</v>
      </c>
      <c r="B24" s="72" t="s">
        <v>117</v>
      </c>
      <c r="C24" s="73" t="n">
        <f aca="false">'Chart Data'!B23</f>
        <v>0</v>
      </c>
      <c r="D24" s="73" t="n">
        <f aca="false">'Chart Data'!C23</f>
        <v>0</v>
      </c>
      <c r="E24" s="73" t="n">
        <f aca="false">'Chart Data'!D23</f>
        <v>0</v>
      </c>
      <c r="F24" s="73" t="n">
        <f aca="false">'Chart Data'!E23</f>
        <v>0</v>
      </c>
      <c r="G24" s="73" t="n">
        <f aca="false">'Chart Data'!F23</f>
        <v>0</v>
      </c>
      <c r="H24" s="73" t="n">
        <f aca="false">'Chart Data'!G23</f>
        <v>0</v>
      </c>
      <c r="I24" s="73" t="n">
        <f aca="false">'Chart Data'!H23</f>
        <v>0</v>
      </c>
      <c r="J24" s="73" t="n">
        <f aca="false">'Chart Data'!I23</f>
        <v>0</v>
      </c>
      <c r="K24" s="73" t="n">
        <f aca="false">'Chart Data'!J23</f>
        <v>0</v>
      </c>
      <c r="L24" s="73" t="n">
        <f aca="false">'Chart Data'!K23</f>
        <v>0</v>
      </c>
      <c r="M24" s="73" t="n">
        <f aca="false">'Chart Data'!L23</f>
        <v>0</v>
      </c>
      <c r="N24" s="73" t="n">
        <f aca="false">'Chart Data'!M23</f>
        <v>0</v>
      </c>
      <c r="O24" s="73" t="n">
        <f aca="false">'Chart Data'!N23</f>
        <v>0</v>
      </c>
      <c r="P24" s="73" t="n">
        <f aca="false">'Chart Data'!O23</f>
        <v>0</v>
      </c>
      <c r="Q24" s="73" t="n">
        <f aca="false">'Chart Data'!P23</f>
        <v>0</v>
      </c>
      <c r="R24" s="73" t="n">
        <f aca="false">'Chart Data'!Q23</f>
        <v>0</v>
      </c>
      <c r="S24" s="73" t="n">
        <f aca="false">'Chart Data'!R23</f>
        <v>0</v>
      </c>
      <c r="T24" s="73" t="n">
        <f aca="false">'Chart Data'!S23</f>
        <v>0</v>
      </c>
      <c r="U24" s="73" t="n">
        <f aca="false">'Chart Data'!T23</f>
        <v>0</v>
      </c>
      <c r="V24" s="73" t="n">
        <f aca="false">'Chart Data'!U23</f>
        <v>0</v>
      </c>
      <c r="W24" s="73" t="n">
        <f aca="false">'Chart Data'!V23</f>
        <v>0</v>
      </c>
      <c r="X24" s="73" t="n">
        <f aca="false">'Chart Data'!W23</f>
        <v>0</v>
      </c>
      <c r="Y24" s="73" t="n">
        <f aca="false">'Chart Data'!X23</f>
        <v>0</v>
      </c>
      <c r="Z24" s="73" t="n">
        <f aca="false">'Chart Data'!Y23</f>
        <v>0</v>
      </c>
      <c r="AA24" s="74" t="n">
        <f aca="false">IFERROR(INDEX('Driver Standings'!$E$2:$E$23,MATCH(A24,'Driver Standings'!$B$2:$B$23,0)),0)</f>
        <v>0</v>
      </c>
    </row>
  </sheetData>
  <sheetProtection sheet="true" password="c755"/>
  <mergeCells count="1">
    <mergeCell ref="A1:Z1"/>
  </mergeCells>
  <conditionalFormatting sqref="C3:Z4">
    <cfRule type="cellIs" priority="2" operator="greaterThan" aboveAverage="0" equalAverage="0" bottom="0" percent="0" rank="0" text="" dxfId="19">
      <formula>0</formula>
    </cfRule>
  </conditionalFormatting>
  <conditionalFormatting sqref="C5:Z6">
    <cfRule type="cellIs" priority="3" operator="greaterThan" aboveAverage="0" equalAverage="0" bottom="0" percent="0" rank="0" text="" dxfId="20">
      <formula>0</formula>
    </cfRule>
  </conditionalFormatting>
  <conditionalFormatting sqref="C7:Z7">
    <cfRule type="cellIs" priority="4" operator="greaterThan" aboveAverage="0" equalAverage="0" bottom="0" percent="0" rank="0" text="" dxfId="21">
      <formula>0</formula>
    </cfRule>
  </conditionalFormatting>
  <conditionalFormatting sqref="C8:Z8">
    <cfRule type="cellIs" priority="5" operator="greaterThan" aboveAverage="0" equalAverage="0" bottom="0" percent="0" rank="0" text="" dxfId="22">
      <formula>0</formula>
    </cfRule>
  </conditionalFormatting>
  <conditionalFormatting sqref="C9:Z9">
    <cfRule type="cellIs" priority="6" operator="greaterThan" aboveAverage="0" equalAverage="0" bottom="0" percent="0" rank="0" text="" dxfId="23">
      <formula>0</formula>
    </cfRule>
  </conditionalFormatting>
  <conditionalFormatting sqref="C10:Z10">
    <cfRule type="cellIs" priority="7" operator="greaterThan" aboveAverage="0" equalAverage="0" bottom="0" percent="0" rank="0" text="" dxfId="24">
      <formula>0</formula>
    </cfRule>
  </conditionalFormatting>
  <conditionalFormatting sqref="C11:Z11">
    <cfRule type="cellIs" priority="8" operator="greaterThan" aboveAverage="0" equalAverage="0" bottom="0" percent="0" rank="0" text="" dxfId="25">
      <formula>0</formula>
    </cfRule>
  </conditionalFormatting>
  <conditionalFormatting sqref="C12:Z12">
    <cfRule type="cellIs" priority="9" operator="greaterThan" aboveAverage="0" equalAverage="0" bottom="0" percent="0" rank="0" text="" dxfId="24">
      <formula>0</formula>
    </cfRule>
  </conditionalFormatting>
  <conditionalFormatting sqref="C13:Z13">
    <cfRule type="cellIs" priority="10" operator="greaterThan" aboveAverage="0" equalAverage="0" bottom="0" percent="0" rank="0" text="" dxfId="25">
      <formula>0</formula>
    </cfRule>
  </conditionalFormatting>
  <conditionalFormatting sqref="C14:Z14">
    <cfRule type="cellIs" priority="11" operator="greaterThan" aboveAverage="0" equalAverage="0" bottom="0" percent="0" rank="0" text="" dxfId="22">
      <formula>0</formula>
    </cfRule>
  </conditionalFormatting>
  <conditionalFormatting sqref="C15:Z15">
    <cfRule type="cellIs" priority="12" operator="greaterThan" aboveAverage="0" equalAverage="0" bottom="0" percent="0" rank="0" text="" dxfId="26">
      <formula>0</formula>
    </cfRule>
  </conditionalFormatting>
  <conditionalFormatting sqref="C16:Z16">
    <cfRule type="cellIs" priority="13" operator="greaterThan" aboveAverage="0" equalAverage="0" bottom="0" percent="0" rank="0" text="" dxfId="27">
      <formula>0</formula>
    </cfRule>
  </conditionalFormatting>
  <conditionalFormatting sqref="C17:Z17">
    <cfRule type="cellIs" priority="14" operator="greaterThan" aboveAverage="0" equalAverage="0" bottom="0" percent="0" rank="0" text="" dxfId="23">
      <formula>0</formula>
    </cfRule>
  </conditionalFormatting>
  <conditionalFormatting sqref="C18:Z19">
    <cfRule type="cellIs" priority="15" operator="greaterThan" aboveAverage="0" equalAverage="0" bottom="0" percent="0" rank="0" text="" dxfId="28">
      <formula>0</formula>
    </cfRule>
  </conditionalFormatting>
  <conditionalFormatting sqref="C20:Z20">
    <cfRule type="cellIs" priority="16" operator="greaterThan" aboveAverage="0" equalAverage="0" bottom="0" percent="0" rank="0" text="" dxfId="26">
      <formula>0</formula>
    </cfRule>
  </conditionalFormatting>
  <conditionalFormatting sqref="C21:Z21">
    <cfRule type="cellIs" priority="17" operator="greaterThan" aboveAverage="0" equalAverage="0" bottom="0" percent="0" rank="0" text="" dxfId="21">
      <formula>0</formula>
    </cfRule>
  </conditionalFormatting>
  <conditionalFormatting sqref="C22:Z22">
    <cfRule type="cellIs" priority="18" operator="greaterThan" aboveAverage="0" equalAverage="0" bottom="0" percent="0" rank="0" text="" dxfId="27">
      <formula>0</formula>
    </cfRule>
  </conditionalFormatting>
  <conditionalFormatting sqref="C23:Z24">
    <cfRule type="cellIs" priority="19" operator="greaterThan" aboveAverage="0" equalAverage="0" bottom="0" percent="0" rank="0" text="" dxfId="2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24"/>
    <col collapsed="false" customWidth="true" hidden="false" outlineLevel="0" max="5" min="4" style="1" width="8"/>
    <col collapsed="false" customWidth="true" hidden="false" outlineLevel="0" max="6" min="6" style="1" width="9"/>
    <col collapsed="false" customWidth="true" hidden="false" outlineLevel="0" max="8" min="7" style="1" width="8"/>
    <col collapsed="false" customWidth="true" hidden="false" outlineLevel="0" max="9" min="9" style="1" width="9"/>
    <col collapsed="false" customWidth="true" hidden="false" outlineLevel="0" max="11" min="10" style="1" width="8"/>
    <col collapsed="false" customWidth="true" hidden="false" outlineLevel="0" max="13" min="12" style="1" width="7"/>
    <col collapsed="false" customWidth="true" hidden="false" outlineLevel="0" max="14" min="14" style="1" width="22"/>
  </cols>
  <sheetData>
    <row r="1" customFormat="false" ht="34.5" hidden="false" customHeight="true" outlineLevel="0" collapsed="false">
      <c r="A1" s="28" t="s">
        <v>174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customFormat="false" ht="27.75" hidden="false" customHeight="true" outlineLevel="0" collapsed="false">
      <c r="A2" s="6" t="s">
        <v>25</v>
      </c>
      <c r="B2" s="6" t="s">
        <v>175</v>
      </c>
      <c r="C2" s="6" t="s">
        <v>176</v>
      </c>
      <c r="D2" s="6" t="s">
        <v>177</v>
      </c>
      <c r="E2" s="6" t="s">
        <v>178</v>
      </c>
      <c r="F2" s="6" t="s">
        <v>179</v>
      </c>
      <c r="G2" s="6" t="s">
        <v>180</v>
      </c>
      <c r="H2" s="6" t="s">
        <v>181</v>
      </c>
      <c r="I2" s="6" t="s">
        <v>182</v>
      </c>
      <c r="J2" s="6" t="s">
        <v>183</v>
      </c>
      <c r="K2" s="6" t="s">
        <v>184</v>
      </c>
      <c r="L2" s="6" t="s">
        <v>185</v>
      </c>
      <c r="M2" s="6" t="s">
        <v>186</v>
      </c>
      <c r="N2" s="6" t="s">
        <v>45</v>
      </c>
    </row>
    <row r="3" customFormat="false" ht="19.5" hidden="false" customHeight="true" outlineLevel="0" collapsed="false">
      <c r="A3" s="75" t="s">
        <v>102</v>
      </c>
      <c r="B3" s="76" t="s">
        <v>48</v>
      </c>
      <c r="C3" s="76" t="s">
        <v>49</v>
      </c>
      <c r="D3" s="77" t="n">
        <f aca="false">IFERROR(INDEX('Driver Standings'!$E$2:$E$23,MATCH(B3,'Driver Standings'!$B$2:$B$23,0)),0)</f>
        <v>63</v>
      </c>
      <c r="E3" s="77" t="n">
        <f aca="false">IFERROR(INDEX('Driver Standings'!$E$2:$E$23,MATCH(C3,'Driver Standings'!$B$2:$B$23,0)),0)</f>
        <v>72</v>
      </c>
      <c r="F3" s="78" t="n">
        <f aca="false">D3-E3</f>
        <v>-9</v>
      </c>
      <c r="G3" s="77" t="n">
        <f aca="false">IFERROR(INDEX('Driver Standings'!$H$2:$H$23,MATCH(B3,'Driver Standings'!$B$2:$B$23,0)),0)</f>
        <v>1</v>
      </c>
      <c r="H3" s="77" t="n">
        <f aca="false">IFERROR(INDEX('Driver Standings'!$H$2:$H$23,MATCH(C3,'Driver Standings'!$B$2:$B$23,0)),0)</f>
        <v>2</v>
      </c>
      <c r="I3" s="78" t="n">
        <f aca="false">G3-H3</f>
        <v>-1</v>
      </c>
      <c r="J3" s="77" t="n">
        <f aca="false">COUNTIF('Qualifying Results'!$E$2:$E$25,B3)</f>
        <v>1</v>
      </c>
      <c r="K3" s="77" t="n">
        <f aca="false">COUNTIF('Qualifying Results'!$E$2:$E$25,C3)</f>
        <v>2</v>
      </c>
      <c r="L3" s="77" t="n">
        <f aca="false">COUNTIFS('DNF Tracker'!$C$3:$C$62,B3,'DNF Tracker'!$E$3:$E$62,"DNF")</f>
        <v>0</v>
      </c>
      <c r="M3" s="77" t="n">
        <f aca="false">COUNTIFS('DNF Tracker'!$C$3:$C$62,C3,'DNF Tracker'!$E$3:$E$62,"DNF")</f>
        <v>0</v>
      </c>
      <c r="N3" s="76"/>
    </row>
    <row r="4" customFormat="false" ht="19.5" hidden="false" customHeight="true" outlineLevel="0" collapsed="false">
      <c r="A4" s="79" t="s">
        <v>103</v>
      </c>
      <c r="B4" s="80" t="s">
        <v>51</v>
      </c>
      <c r="C4" s="80" t="s">
        <v>50</v>
      </c>
      <c r="D4" s="81" t="n">
        <f aca="false">IFERROR(INDEX('Driver Standings'!$E$2:$E$23,MATCH(B4,'Driver Standings'!$B$2:$B$23,0)),0)</f>
        <v>41</v>
      </c>
      <c r="E4" s="81" t="n">
        <f aca="false">IFERROR(INDEX('Driver Standings'!$E$2:$E$23,MATCH(C4,'Driver Standings'!$B$2:$B$23,0)),0)</f>
        <v>49</v>
      </c>
      <c r="F4" s="82" t="n">
        <f aca="false">D4-E4</f>
        <v>-8</v>
      </c>
      <c r="G4" s="81" t="n">
        <f aca="false">IFERROR(INDEX('Driver Standings'!$H$2:$H$23,MATCH(B4,'Driver Standings'!$B$2:$B$23,0)),0)</f>
        <v>0</v>
      </c>
      <c r="H4" s="81" t="n">
        <f aca="false">IFERROR(INDEX('Driver Standings'!$H$2:$H$23,MATCH(C4,'Driver Standings'!$B$2:$B$23,0)),0)</f>
        <v>0</v>
      </c>
      <c r="I4" s="82" t="n">
        <f aca="false">G4-H4</f>
        <v>0</v>
      </c>
      <c r="J4" s="81" t="n">
        <f aca="false">COUNTIF('Qualifying Results'!$E$2:$E$25,B4)</f>
        <v>0</v>
      </c>
      <c r="K4" s="81" t="n">
        <f aca="false">COUNTIF('Qualifying Results'!$E$2:$E$25,C4)</f>
        <v>0</v>
      </c>
      <c r="L4" s="81" t="n">
        <f aca="false">COUNTIFS('DNF Tracker'!$C$3:$C$62,B4,'DNF Tracker'!$E$3:$E$62,"DNF")</f>
        <v>0</v>
      </c>
      <c r="M4" s="81" t="n">
        <f aca="false">COUNTIFS('DNF Tracker'!$C$3:$C$62,C4,'DNF Tracker'!$E$3:$E$62,"DNF")</f>
        <v>0</v>
      </c>
      <c r="N4" s="80"/>
    </row>
    <row r="5" customFormat="false" ht="19.5" hidden="false" customHeight="true" outlineLevel="0" collapsed="false">
      <c r="A5" s="83" t="s">
        <v>105</v>
      </c>
      <c r="B5" s="84" t="s">
        <v>52</v>
      </c>
      <c r="C5" s="84" t="s">
        <v>68</v>
      </c>
      <c r="D5" s="85" t="n">
        <f aca="false">IFERROR(INDEX('Driver Standings'!$E$2:$E$23,MATCH(B5,'Driver Standings'!$B$2:$B$23,0)),0)</f>
        <v>25</v>
      </c>
      <c r="E5" s="85" t="n">
        <f aca="false">IFERROR(INDEX('Driver Standings'!$E$2:$E$23,MATCH(C5,'Driver Standings'!$B$2:$B$23,0)),0)</f>
        <v>21</v>
      </c>
      <c r="F5" s="86" t="n">
        <f aca="false">D5-E5</f>
        <v>4</v>
      </c>
      <c r="G5" s="85" t="n">
        <f aca="false">IFERROR(INDEX('Driver Standings'!$H$2:$H$23,MATCH(B5,'Driver Standings'!$B$2:$B$23,0)),0)</f>
        <v>0</v>
      </c>
      <c r="H5" s="85" t="n">
        <f aca="false">IFERROR(INDEX('Driver Standings'!$H$2:$H$23,MATCH(C5,'Driver Standings'!$B$2:$B$23,0)),0)</f>
        <v>0</v>
      </c>
      <c r="I5" s="86" t="n">
        <f aca="false">G5-H5</f>
        <v>0</v>
      </c>
      <c r="J5" s="85" t="n">
        <f aca="false">COUNTIF('Qualifying Results'!$E$2:$E$25,B5)</f>
        <v>0</v>
      </c>
      <c r="K5" s="85" t="n">
        <f aca="false">COUNTIF('Qualifying Results'!$E$2:$E$25,C5)</f>
        <v>0</v>
      </c>
      <c r="L5" s="85" t="n">
        <f aca="false">COUNTIFS('DNF Tracker'!$C$3:$C$62,B5,'DNF Tracker'!$E$3:$E$62,"DNF")</f>
        <v>0</v>
      </c>
      <c r="M5" s="85" t="n">
        <f aca="false">COUNTIFS('DNF Tracker'!$C$3:$C$62,C5,'DNF Tracker'!$E$3:$E$62,"DNF")</f>
        <v>0</v>
      </c>
      <c r="N5" s="84"/>
    </row>
    <row r="6" customFormat="false" ht="19.5" hidden="false" customHeight="true" outlineLevel="0" collapsed="false">
      <c r="A6" s="87" t="s">
        <v>107</v>
      </c>
      <c r="B6" s="88" t="s">
        <v>53</v>
      </c>
      <c r="C6" s="88" t="s">
        <v>62</v>
      </c>
      <c r="D6" s="89" t="n">
        <f aca="false">IFERROR(INDEX('Driver Standings'!$E$2:$E$23,MATCH(B6,'Driver Standings'!$B$2:$B$23,0)),0)</f>
        <v>12</v>
      </c>
      <c r="E6" s="89" t="n">
        <f aca="false">IFERROR(INDEX('Driver Standings'!$E$2:$E$23,MATCH(C6,'Driver Standings'!$B$2:$B$23,0)),0)</f>
        <v>4</v>
      </c>
      <c r="F6" s="90" t="n">
        <f aca="false">D6-E6</f>
        <v>8</v>
      </c>
      <c r="G6" s="89" t="n">
        <f aca="false">IFERROR(INDEX('Driver Standings'!$H$2:$H$23,MATCH(B6,'Driver Standings'!$B$2:$B$23,0)),0)</f>
        <v>0</v>
      </c>
      <c r="H6" s="89" t="n">
        <f aca="false">IFERROR(INDEX('Driver Standings'!$H$2:$H$23,MATCH(C6,'Driver Standings'!$B$2:$B$23,0)),0)</f>
        <v>0</v>
      </c>
      <c r="I6" s="90" t="n">
        <f aca="false">G6-H6</f>
        <v>0</v>
      </c>
      <c r="J6" s="89" t="n">
        <f aca="false">COUNTIF('Qualifying Results'!$E$2:$E$25,B6)</f>
        <v>0</v>
      </c>
      <c r="K6" s="89" t="n">
        <f aca="false">COUNTIF('Qualifying Results'!$E$2:$E$25,C6)</f>
        <v>0</v>
      </c>
      <c r="L6" s="89" t="n">
        <f aca="false">COUNTIFS('DNF Tracker'!$C$3:$C$62,B6,'DNF Tracker'!$E$3:$E$62,"DNF")</f>
        <v>1</v>
      </c>
      <c r="M6" s="89" t="n">
        <f aca="false">COUNTIFS('DNF Tracker'!$C$3:$C$62,C6,'DNF Tracker'!$E$3:$E$62,"DNF")</f>
        <v>0</v>
      </c>
      <c r="N6" s="88"/>
    </row>
    <row r="7" customFormat="false" ht="19.5" hidden="false" customHeight="true" outlineLevel="0" collapsed="false">
      <c r="A7" s="91" t="s">
        <v>112</v>
      </c>
      <c r="B7" s="92" t="s">
        <v>111</v>
      </c>
      <c r="C7" s="92" t="s">
        <v>113</v>
      </c>
      <c r="D7" s="93" t="n">
        <f aca="false">IFERROR(INDEX('Driver Standings'!$E$2:$E$23,MATCH(B7,'Driver Standings'!$B$2:$B$23,0)),0)</f>
        <v>0</v>
      </c>
      <c r="E7" s="93" t="n">
        <f aca="false">IFERROR(INDEX('Driver Standings'!$E$2:$E$23,MATCH(C7,'Driver Standings'!$B$2:$B$23,0)),0)</f>
        <v>0</v>
      </c>
      <c r="F7" s="94" t="n">
        <f aca="false">D7-E7</f>
        <v>0</v>
      </c>
      <c r="G7" s="93" t="n">
        <f aca="false">IFERROR(INDEX('Driver Standings'!$H$2:$H$23,MATCH(B7,'Driver Standings'!$B$2:$B$23,0)),0)</f>
        <v>0</v>
      </c>
      <c r="H7" s="93" t="n">
        <f aca="false">IFERROR(INDEX('Driver Standings'!$H$2:$H$23,MATCH(C7,'Driver Standings'!$B$2:$B$23,0)),0)</f>
        <v>0</v>
      </c>
      <c r="I7" s="94" t="n">
        <f aca="false">G7-H7</f>
        <v>0</v>
      </c>
      <c r="J7" s="93" t="n">
        <f aca="false">COUNTIF('Qualifying Results'!$E$2:$E$25,B7)</f>
        <v>0</v>
      </c>
      <c r="K7" s="93" t="n">
        <f aca="false">COUNTIF('Qualifying Results'!$E$2:$E$25,C7)</f>
        <v>0</v>
      </c>
      <c r="L7" s="93" t="n">
        <f aca="false">COUNTIFS('DNF Tracker'!$C$3:$C$62,B7,'DNF Tracker'!$E$3:$E$62,"DNF")</f>
        <v>1</v>
      </c>
      <c r="M7" s="93" t="n">
        <f aca="false">COUNTIFS('DNF Tracker'!$C$3:$C$62,C7,'DNF Tracker'!$E$3:$E$62,"DNF")</f>
        <v>2</v>
      </c>
      <c r="N7" s="92"/>
    </row>
    <row r="8" customFormat="false" ht="19.5" hidden="false" customHeight="true" outlineLevel="0" collapsed="false">
      <c r="A8" s="95" t="s">
        <v>106</v>
      </c>
      <c r="B8" s="96" t="s">
        <v>57</v>
      </c>
      <c r="C8" s="96" t="s">
        <v>64</v>
      </c>
      <c r="D8" s="97" t="n">
        <f aca="false">IFERROR(INDEX('Driver Standings'!$E$2:$E$23,MATCH(B8,'Driver Standings'!$B$2:$B$23,0)),0)</f>
        <v>15</v>
      </c>
      <c r="E8" s="97" t="n">
        <f aca="false">IFERROR(INDEX('Driver Standings'!$E$2:$E$23,MATCH(C8,'Driver Standings'!$B$2:$B$23,0)),0)</f>
        <v>1</v>
      </c>
      <c r="F8" s="98" t="n">
        <f aca="false">D8-E8</f>
        <v>14</v>
      </c>
      <c r="G8" s="97" t="n">
        <f aca="false">IFERROR(INDEX('Driver Standings'!$H$2:$H$23,MATCH(B8,'Driver Standings'!$B$2:$B$23,0)),0)</f>
        <v>0</v>
      </c>
      <c r="H8" s="97" t="n">
        <f aca="false">IFERROR(INDEX('Driver Standings'!$H$2:$H$23,MATCH(C8,'Driver Standings'!$B$2:$B$23,0)),0)</f>
        <v>0</v>
      </c>
      <c r="I8" s="98" t="n">
        <f aca="false">G8-H8</f>
        <v>0</v>
      </c>
      <c r="J8" s="97" t="n">
        <f aca="false">COUNTIF('Qualifying Results'!$E$2:$E$25,B8)</f>
        <v>0</v>
      </c>
      <c r="K8" s="97" t="n">
        <f aca="false">COUNTIF('Qualifying Results'!$E$2:$E$25,C8)</f>
        <v>0</v>
      </c>
      <c r="L8" s="97" t="n">
        <f aca="false">COUNTIFS('DNF Tracker'!$C$3:$C$62,B8,'DNF Tracker'!$E$3:$E$62,"DNF")</f>
        <v>0</v>
      </c>
      <c r="M8" s="97" t="n">
        <f aca="false">COUNTIFS('DNF Tracker'!$C$3:$C$62,C8,'DNF Tracker'!$E$3:$E$62,"DNF")</f>
        <v>0</v>
      </c>
      <c r="N8" s="96"/>
    </row>
    <row r="9" customFormat="false" ht="19.5" hidden="false" customHeight="true" outlineLevel="0" collapsed="false">
      <c r="A9" s="99" t="s">
        <v>109</v>
      </c>
      <c r="B9" s="100" t="s">
        <v>63</v>
      </c>
      <c r="C9" s="100" t="s">
        <v>114</v>
      </c>
      <c r="D9" s="101" t="n">
        <f aca="false">IFERROR(INDEX('Driver Standings'!$E$2:$E$23,MATCH(B9,'Driver Standings'!$B$2:$B$23,0)),0)</f>
        <v>2</v>
      </c>
      <c r="E9" s="101" t="n">
        <f aca="false">IFERROR(INDEX('Driver Standings'!$E$2:$E$23,MATCH(C9,'Driver Standings'!$B$2:$B$23,0)),0)</f>
        <v>0</v>
      </c>
      <c r="F9" s="102" t="n">
        <f aca="false">D9-E9</f>
        <v>2</v>
      </c>
      <c r="G9" s="101" t="n">
        <f aca="false">IFERROR(INDEX('Driver Standings'!$H$2:$H$23,MATCH(B9,'Driver Standings'!$B$2:$B$23,0)),0)</f>
        <v>0</v>
      </c>
      <c r="H9" s="101" t="n">
        <f aca="false">IFERROR(INDEX('Driver Standings'!$H$2:$H$23,MATCH(C9,'Driver Standings'!$B$2:$B$23,0)),0)</f>
        <v>0</v>
      </c>
      <c r="I9" s="102" t="n">
        <f aca="false">G9-H9</f>
        <v>0</v>
      </c>
      <c r="J9" s="101" t="n">
        <f aca="false">COUNTIF('Qualifying Results'!$E$2:$E$25,B9)</f>
        <v>0</v>
      </c>
      <c r="K9" s="101" t="n">
        <f aca="false">COUNTIF('Qualifying Results'!$E$2:$E$25,C9)</f>
        <v>0</v>
      </c>
      <c r="L9" s="101" t="n">
        <f aca="false">COUNTIFS('DNF Tracker'!$C$3:$C$62,B9,'DNF Tracker'!$E$3:$E$62,"DNF")</f>
        <v>0</v>
      </c>
      <c r="M9" s="101" t="n">
        <f aca="false">COUNTIFS('DNF Tracker'!$C$3:$C$62,C9,'DNF Tracker'!$E$3:$E$62,"DNF")</f>
        <v>0</v>
      </c>
      <c r="N9" s="100"/>
    </row>
    <row r="10" customFormat="false" ht="19.5" hidden="false" customHeight="true" outlineLevel="0" collapsed="false">
      <c r="A10" s="103" t="s">
        <v>108</v>
      </c>
      <c r="B10" s="104" t="s">
        <v>61</v>
      </c>
      <c r="C10" s="104" t="s">
        <v>55</v>
      </c>
      <c r="D10" s="105" t="n">
        <f aca="false">IFERROR(INDEX('Driver Standings'!$E$2:$E$23,MATCH(B10,'Driver Standings'!$B$2:$B$23,0)),0)</f>
        <v>10</v>
      </c>
      <c r="E10" s="105" t="n">
        <f aca="false">IFERROR(INDEX('Driver Standings'!$E$2:$E$23,MATCH(C10,'Driver Standings'!$B$2:$B$23,0)),0)</f>
        <v>4</v>
      </c>
      <c r="F10" s="106" t="n">
        <f aca="false">D10-E10</f>
        <v>6</v>
      </c>
      <c r="G10" s="105" t="n">
        <f aca="false">IFERROR(INDEX('Driver Standings'!$H$2:$H$23,MATCH(B10,'Driver Standings'!$B$2:$B$23,0)),0)</f>
        <v>0</v>
      </c>
      <c r="H10" s="105" t="n">
        <f aca="false">IFERROR(INDEX('Driver Standings'!$H$2:$H$23,MATCH(C10,'Driver Standings'!$B$2:$B$23,0)),0)</f>
        <v>0</v>
      </c>
      <c r="I10" s="106" t="n">
        <f aca="false">G10-H10</f>
        <v>0</v>
      </c>
      <c r="J10" s="105" t="n">
        <f aca="false">COUNTIF('Qualifying Results'!$E$2:$E$25,B10)</f>
        <v>0</v>
      </c>
      <c r="K10" s="105" t="n">
        <f aca="false">COUNTIF('Qualifying Results'!$E$2:$E$25,C10)</f>
        <v>0</v>
      </c>
      <c r="L10" s="105" t="n">
        <f aca="false">COUNTIFS('DNF Tracker'!$C$3:$C$62,B10,'DNF Tracker'!$E$3:$E$62,"DNF")</f>
        <v>0</v>
      </c>
      <c r="M10" s="105" t="n">
        <f aca="false">COUNTIFS('DNF Tracker'!$C$3:$C$62,C10,'DNF Tracker'!$E$3:$E$62,"DNF")</f>
        <v>0</v>
      </c>
      <c r="N10" s="104"/>
    </row>
    <row r="11" customFormat="false" ht="19.5" hidden="false" customHeight="true" outlineLevel="0" collapsed="false">
      <c r="A11" s="107" t="s">
        <v>104</v>
      </c>
      <c r="B11" s="108" t="s">
        <v>54</v>
      </c>
      <c r="C11" s="108" t="s">
        <v>69</v>
      </c>
      <c r="D11" s="109" t="n">
        <f aca="false">IFERROR(INDEX('Driver Standings'!$E$2:$E$23,MATCH(B11,'Driver Standings'!$B$2:$B$23,0)),0)</f>
        <v>17</v>
      </c>
      <c r="E11" s="109" t="n">
        <f aca="false">IFERROR(INDEX('Driver Standings'!$E$2:$E$23,MATCH(C11,'Driver Standings'!$B$2:$B$23,0)),0)</f>
        <v>1</v>
      </c>
      <c r="F11" s="110" t="n">
        <f aca="false">D11-E11</f>
        <v>16</v>
      </c>
      <c r="G11" s="109" t="n">
        <f aca="false">IFERROR(INDEX('Driver Standings'!$H$2:$H$23,MATCH(B11,'Driver Standings'!$B$2:$B$23,0)),0)</f>
        <v>0</v>
      </c>
      <c r="H11" s="109" t="n">
        <f aca="false">IFERROR(INDEX('Driver Standings'!$H$2:$H$23,MATCH(C11,'Driver Standings'!$B$2:$B$23,0)),0)</f>
        <v>0</v>
      </c>
      <c r="I11" s="110" t="n">
        <f aca="false">G11-H11</f>
        <v>0</v>
      </c>
      <c r="J11" s="109" t="n">
        <f aca="false">COUNTIF('Qualifying Results'!$E$2:$E$25,B11)</f>
        <v>0</v>
      </c>
      <c r="K11" s="109" t="n">
        <f aca="false">COUNTIF('Qualifying Results'!$E$2:$E$25,C11)</f>
        <v>0</v>
      </c>
      <c r="L11" s="109" t="n">
        <f aca="false">COUNTIFS('DNF Tracker'!$C$3:$C$62,B11,'DNF Tracker'!$E$3:$E$62,"DNF")</f>
        <v>1</v>
      </c>
      <c r="M11" s="109" t="n">
        <f aca="false">COUNTIFS('DNF Tracker'!$C$3:$C$62,C11,'DNF Tracker'!$E$3:$E$62,"DNF")</f>
        <v>0</v>
      </c>
      <c r="N11" s="108"/>
    </row>
    <row r="12" customFormat="false" ht="19.5" hidden="false" customHeight="true" outlineLevel="0" collapsed="false">
      <c r="A12" s="111" t="s">
        <v>110</v>
      </c>
      <c r="B12" s="112" t="s">
        <v>115</v>
      </c>
      <c r="C12" s="112" t="s">
        <v>56</v>
      </c>
      <c r="D12" s="113" t="n">
        <f aca="false">IFERROR(INDEX('Driver Standings'!$E$2:$E$23,MATCH(B12,'Driver Standings'!$B$2:$B$23,0)),0)</f>
        <v>0</v>
      </c>
      <c r="E12" s="113" t="n">
        <f aca="false">IFERROR(INDEX('Driver Standings'!$E$2:$E$23,MATCH(C12,'Driver Standings'!$B$2:$B$23,0)),0)</f>
        <v>2</v>
      </c>
      <c r="F12" s="114" t="n">
        <f aca="false">D12-E12</f>
        <v>-2</v>
      </c>
      <c r="G12" s="113" t="n">
        <f aca="false">IFERROR(INDEX('Driver Standings'!$H$2:$H$23,MATCH(B12,'Driver Standings'!$B$2:$B$23,0)),0)</f>
        <v>0</v>
      </c>
      <c r="H12" s="113" t="n">
        <f aca="false">IFERROR(INDEX('Driver Standings'!$H$2:$H$23,MATCH(C12,'Driver Standings'!$B$2:$B$23,0)),0)</f>
        <v>0</v>
      </c>
      <c r="I12" s="114" t="n">
        <f aca="false">G12-H12</f>
        <v>0</v>
      </c>
      <c r="J12" s="113" t="n">
        <f aca="false">COUNTIF('Qualifying Results'!$E$2:$E$25,B12)</f>
        <v>0</v>
      </c>
      <c r="K12" s="113" t="n">
        <f aca="false">COUNTIF('Qualifying Results'!$E$2:$E$25,C12)</f>
        <v>0</v>
      </c>
      <c r="L12" s="113" t="n">
        <f aca="false">COUNTIFS('DNF Tracker'!$C$3:$C$62,B12,'DNF Tracker'!$E$3:$E$62,"DNF")</f>
        <v>0</v>
      </c>
      <c r="M12" s="113" t="n">
        <f aca="false">COUNTIFS('DNF Tracker'!$C$3:$C$62,C12,'DNF Tracker'!$E$3:$E$62,"DNF")</f>
        <v>0</v>
      </c>
      <c r="N12" s="112"/>
    </row>
    <row r="13" customFormat="false" ht="19.5" hidden="false" customHeight="true" outlineLevel="0" collapsed="false">
      <c r="A13" s="115" t="s">
        <v>117</v>
      </c>
      <c r="B13" s="116" t="s">
        <v>116</v>
      </c>
      <c r="C13" s="116" t="s">
        <v>118</v>
      </c>
      <c r="D13" s="117" t="n">
        <f aca="false">IFERROR(INDEX('Driver Standings'!$E$2:$E$23,MATCH(B13,'Driver Standings'!$B$2:$B$23,0)),0)</f>
        <v>0</v>
      </c>
      <c r="E13" s="117" t="n">
        <f aca="false">IFERROR(INDEX('Driver Standings'!$E$2:$E$23,MATCH(C13,'Driver Standings'!$B$2:$B$23,0)),0)</f>
        <v>0</v>
      </c>
      <c r="F13" s="118" t="n">
        <f aca="false">D13-E13</f>
        <v>0</v>
      </c>
      <c r="G13" s="117" t="n">
        <f aca="false">IFERROR(INDEX('Driver Standings'!$H$2:$H$23,MATCH(B13,'Driver Standings'!$B$2:$B$23,0)),0)</f>
        <v>0</v>
      </c>
      <c r="H13" s="117" t="n">
        <f aca="false">IFERROR(INDEX('Driver Standings'!$H$2:$H$23,MATCH(C13,'Driver Standings'!$B$2:$B$23,0)),0)</f>
        <v>0</v>
      </c>
      <c r="I13" s="118" t="n">
        <f aca="false">G13-H13</f>
        <v>0</v>
      </c>
      <c r="J13" s="117" t="n">
        <f aca="false">COUNTIF('Qualifying Results'!$E$2:$E$25,B13)</f>
        <v>0</v>
      </c>
      <c r="K13" s="117" t="n">
        <f aca="false">COUNTIF('Qualifying Results'!$E$2:$E$25,C13)</f>
        <v>0</v>
      </c>
      <c r="L13" s="117" t="n">
        <f aca="false">COUNTIFS('DNF Tracker'!$C$3:$C$62,B13,'DNF Tracker'!$E$3:$E$62,"DNF")</f>
        <v>0</v>
      </c>
      <c r="M13" s="117" t="n">
        <f aca="false">COUNTIFS('DNF Tracker'!$C$3:$C$62,C13,'DNF Tracker'!$E$3:$E$62,"DNF")</f>
        <v>0</v>
      </c>
      <c r="N13" s="116"/>
    </row>
  </sheetData>
  <sheetProtection sheet="true" password="c755"/>
  <mergeCells count="1">
    <mergeCell ref="A1:N1"/>
  </mergeCells>
  <conditionalFormatting sqref="F3:F13">
    <cfRule type="cellIs" priority="2" operator="greaterThan" aboveAverage="0" equalAverage="0" bottom="0" percent="0" rank="0" text="" dxfId="30">
      <formula>0</formula>
    </cfRule>
    <cfRule type="cellIs" priority="3" operator="lessThan" aboveAverage="0" equalAverage="0" bottom="0" percent="0" rank="0" text="" dxfId="3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7" min="4" style="1" width="10"/>
    <col collapsed="false" customWidth="true" hidden="false" outlineLevel="0" max="8" min="8" style="1" width="7"/>
    <col collapsed="false" customWidth="true" hidden="false" outlineLevel="0" max="9" min="9" style="1" width="3"/>
    <col collapsed="false" customWidth="true" hidden="false" outlineLevel="0" max="10" min="10" style="1" width="24"/>
    <col collapsed="false" customWidth="true" hidden="false" outlineLevel="0" max="11" min="11" style="1" width="18"/>
    <col collapsed="false" customWidth="true" hidden="false" outlineLevel="0" max="13" min="12" style="1" width="10"/>
    <col collapsed="false" customWidth="true" hidden="false" outlineLevel="0" max="15" min="15" style="1" width="3"/>
    <col collapsed="false" customWidth="true" hidden="false" outlineLevel="0" max="16" min="16" style="1" width="24"/>
    <col collapsed="false" customWidth="true" hidden="false" outlineLevel="0" max="17" min="17" style="1" width="12"/>
    <col collapsed="false" customWidth="true" hidden="false" outlineLevel="0" max="18" min="18" style="1" width="14"/>
    <col collapsed="false" customWidth="true" hidden="false" outlineLevel="0" max="19" min="19" style="1" width="10"/>
  </cols>
  <sheetData>
    <row r="1" customFormat="false" ht="34.5" hidden="false" customHeight="true" outlineLevel="0" collapsed="false">
      <c r="A1" s="28" t="s">
        <v>187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3" customFormat="false" ht="24.75" hidden="false" customHeight="true" outlineLevel="0" collapsed="false">
      <c r="A3" s="119" t="s">
        <v>188</v>
      </c>
      <c r="B3" s="119"/>
      <c r="C3" s="119"/>
      <c r="D3" s="119"/>
      <c r="E3" s="119"/>
      <c r="F3" s="119"/>
      <c r="G3" s="119"/>
      <c r="H3" s="119"/>
    </row>
    <row r="4" customFormat="false" ht="24.75" hidden="false" customHeight="true" outlineLevel="0" collapsed="false">
      <c r="A4" s="6" t="s">
        <v>189</v>
      </c>
      <c r="B4" s="6" t="s">
        <v>99</v>
      </c>
      <c r="C4" s="6" t="s">
        <v>25</v>
      </c>
      <c r="D4" s="6" t="s">
        <v>190</v>
      </c>
      <c r="E4" s="6" t="s">
        <v>191</v>
      </c>
      <c r="F4" s="6" t="s">
        <v>192</v>
      </c>
      <c r="G4" s="6" t="s">
        <v>193</v>
      </c>
      <c r="H4" s="6" t="s">
        <v>194</v>
      </c>
    </row>
    <row r="5" customFormat="false" ht="15.75" hidden="false" customHeight="true" outlineLevel="0" collapsed="false">
      <c r="A5" s="77" t="n">
        <v>1</v>
      </c>
      <c r="B5" s="76" t="s">
        <v>48</v>
      </c>
      <c r="C5" s="76" t="s">
        <v>102</v>
      </c>
      <c r="D5" s="77" t="n">
        <f aca="false">IF(1&lt;1,"",IFERROR('Chart Data'!B2,0))</f>
        <v>25</v>
      </c>
      <c r="E5" s="77" t="n">
        <f aca="false">IF(1&lt;1,"",IFERROR('Chart Data'!B2,0))</f>
        <v>25</v>
      </c>
      <c r="F5" s="77" t="n">
        <f aca="false">IFERROR('Chart Data'!C2,0)</f>
        <v>26</v>
      </c>
      <c r="G5" s="77" t="n">
        <f aca="false">IFERROR(D5+E5+F5,0)</f>
        <v>76</v>
      </c>
      <c r="H5" s="78" t="str">
        <f aca="false">IF(F5=0,"—",IF(F5&gt;E5,"↑",IF(F5&lt;E5,"↓","→")))</f>
        <v>↑</v>
      </c>
      <c r="J5" s="119" t="s">
        <v>195</v>
      </c>
      <c r="K5" s="119"/>
      <c r="L5" s="119"/>
      <c r="M5" s="119"/>
      <c r="N5" s="119"/>
      <c r="P5" s="27" t="s">
        <v>196</v>
      </c>
      <c r="Q5" s="27"/>
      <c r="R5" s="27"/>
    </row>
    <row r="6" customFormat="false" ht="15.75" hidden="false" customHeight="true" outlineLevel="0" collapsed="false">
      <c r="A6" s="77" t="n">
        <v>2</v>
      </c>
      <c r="B6" s="76" t="s">
        <v>49</v>
      </c>
      <c r="C6" s="76" t="s">
        <v>102</v>
      </c>
      <c r="D6" s="77" t="n">
        <f aca="false">IF(1&lt;1,"",IFERROR('Chart Data'!B3,0))</f>
        <v>18</v>
      </c>
      <c r="E6" s="77" t="n">
        <f aca="false">IF(1&lt;1,"",IFERROR('Chart Data'!B3,0))</f>
        <v>18</v>
      </c>
      <c r="F6" s="77" t="n">
        <f aca="false">IFERROR('Chart Data'!C3,0)</f>
        <v>29</v>
      </c>
      <c r="G6" s="77" t="n">
        <f aca="false">IFERROR(D6+E6+F6,0)</f>
        <v>65</v>
      </c>
      <c r="H6" s="78" t="str">
        <f aca="false">IF(F6=0,"—",IF(F6&gt;E6,"↑",IF(F6&lt;E6,"↓","→")))</f>
        <v>↑</v>
      </c>
      <c r="J6" s="6" t="s">
        <v>99</v>
      </c>
      <c r="K6" s="6" t="s">
        <v>25</v>
      </c>
      <c r="L6" s="6" t="s">
        <v>197</v>
      </c>
      <c r="M6" s="6" t="s">
        <v>198</v>
      </c>
      <c r="P6" s="6" t="s">
        <v>99</v>
      </c>
      <c r="Q6" s="6" t="s">
        <v>199</v>
      </c>
      <c r="R6" s="6" t="s">
        <v>200</v>
      </c>
      <c r="S6" s="6" t="s">
        <v>201</v>
      </c>
    </row>
    <row r="7" customFormat="false" ht="15.75" hidden="false" customHeight="true" outlineLevel="0" collapsed="false">
      <c r="A7" s="81" t="n">
        <v>3</v>
      </c>
      <c r="B7" s="80" t="s">
        <v>50</v>
      </c>
      <c r="C7" s="80" t="s">
        <v>103</v>
      </c>
      <c r="D7" s="81" t="n">
        <f aca="false">IF(1&lt;1,"",IFERROR('Chart Data'!B4,0))</f>
        <v>15</v>
      </c>
      <c r="E7" s="81" t="n">
        <f aca="false">IF(1&lt;1,"",IFERROR('Chart Data'!B4,0))</f>
        <v>15</v>
      </c>
      <c r="F7" s="81" t="n">
        <f aca="false">IFERROR('Chart Data'!C4,0)</f>
        <v>19</v>
      </c>
      <c r="G7" s="81" t="n">
        <f aca="false">IFERROR(D7+E7+F7,0)</f>
        <v>49</v>
      </c>
      <c r="H7" s="82" t="str">
        <f aca="false">IF(F7=0,"—",IF(F7&gt;E7,"↑",IF(F7&lt;E7,"↓","→")))</f>
        <v>↑</v>
      </c>
      <c r="J7" s="76" t="s">
        <v>48</v>
      </c>
      <c r="K7" s="76" t="s">
        <v>102</v>
      </c>
      <c r="L7" s="77" t="n">
        <f aca="false">IFERROR(INDEX('Driver Standings'!$M$2:$M$23,MATCH(J7,'Driver Standings'!$B$2:$B$23,0)),0)</f>
        <v>1</v>
      </c>
      <c r="M7" s="77" t="n">
        <f aca="false">COUNTIFS('Race Results'!$Q$2:$Q$25,J7,'Race Results'!$R$2:$R$25,"Yes")</f>
        <v>0</v>
      </c>
      <c r="P7" s="76" t="s">
        <v>48</v>
      </c>
      <c r="Q7" s="77" t="n">
        <f aca="false">IFERROR(INDEX('Driver Standings'!$E$2:$E$23,MATCH(P7,'Driver Standings'!$B$2:$B$23,0)),0)</f>
        <v>63</v>
      </c>
      <c r="R7" s="77" t="n">
        <f aca="false">Q7+612</f>
        <v>675</v>
      </c>
      <c r="S7" s="120" t="str">
        <f aca="false">IF(R7&gt;=MAX('Driver Standings'!$E$2:$E$23),"✅ YES","❌ OUT")</f>
        <v>✅ YES</v>
      </c>
    </row>
    <row r="8" customFormat="false" ht="15.75" hidden="false" customHeight="true" outlineLevel="0" collapsed="false">
      <c r="A8" s="81" t="n">
        <v>4</v>
      </c>
      <c r="B8" s="80" t="s">
        <v>51</v>
      </c>
      <c r="C8" s="80" t="s">
        <v>103</v>
      </c>
      <c r="D8" s="81" t="n">
        <f aca="false">IF(1&lt;1,"",IFERROR('Chart Data'!B5,0))</f>
        <v>12</v>
      </c>
      <c r="E8" s="81" t="n">
        <f aca="false">IF(1&lt;1,"",IFERROR('Chart Data'!B5,0))</f>
        <v>12</v>
      </c>
      <c r="F8" s="81" t="n">
        <f aca="false">IFERROR('Chart Data'!C5,0)</f>
        <v>21</v>
      </c>
      <c r="G8" s="81" t="n">
        <f aca="false">IFERROR(D8+E8+F8,0)</f>
        <v>45</v>
      </c>
      <c r="H8" s="82" t="str">
        <f aca="false">IF(F8=0,"—",IF(F8&gt;E8,"↑",IF(F8&lt;E8,"↓","→")))</f>
        <v>↑</v>
      </c>
      <c r="J8" s="76" t="s">
        <v>49</v>
      </c>
      <c r="K8" s="76" t="s">
        <v>102</v>
      </c>
      <c r="L8" s="77" t="n">
        <f aca="false">IFERROR(INDEX('Driver Standings'!$M$2:$M$23,MATCH(J8,'Driver Standings'!$B$2:$B$23,0)),0)</f>
        <v>2</v>
      </c>
      <c r="M8" s="77" t="n">
        <f aca="false">COUNTIFS('Race Results'!$Q$2:$Q$25,J8,'Race Results'!$R$2:$R$25,"Yes")</f>
        <v>0</v>
      </c>
      <c r="P8" s="76" t="s">
        <v>49</v>
      </c>
      <c r="Q8" s="77" t="n">
        <f aca="false">IFERROR(INDEX('Driver Standings'!$E$2:$E$23,MATCH(P8,'Driver Standings'!$B$2:$B$23,0)),0)</f>
        <v>72</v>
      </c>
      <c r="R8" s="77" t="n">
        <f aca="false">Q8+612</f>
        <v>684</v>
      </c>
      <c r="S8" s="120" t="str">
        <f aca="false">IF(R8&gt;=MAX('Driver Standings'!$E$2:$E$23),"✅ YES","❌ OUT")</f>
        <v>✅ YES</v>
      </c>
    </row>
    <row r="9" customFormat="false" ht="15.75" hidden="false" customHeight="true" outlineLevel="0" collapsed="false">
      <c r="A9" s="109" t="n">
        <v>5</v>
      </c>
      <c r="B9" s="108" t="s">
        <v>54</v>
      </c>
      <c r="C9" s="108" t="s">
        <v>104</v>
      </c>
      <c r="D9" s="109" t="n">
        <f aca="false">IF(1&lt;1,"",IFERROR('Chart Data'!B6,0))</f>
        <v>6</v>
      </c>
      <c r="E9" s="109" t="n">
        <f aca="false">IF(1&lt;1,"",IFERROR('Chart Data'!B6,0))</f>
        <v>6</v>
      </c>
      <c r="F9" s="109" t="n">
        <f aca="false">IFERROR('Chart Data'!C6,0)</f>
        <v>11</v>
      </c>
      <c r="G9" s="109" t="n">
        <f aca="false">IFERROR(D9+E9+F9,0)</f>
        <v>23</v>
      </c>
      <c r="H9" s="110" t="str">
        <f aca="false">IF(F9=0,"—",IF(F9&gt;E9,"↑",IF(F9&lt;E9,"↓","→")))</f>
        <v>↑</v>
      </c>
      <c r="J9" s="80" t="s">
        <v>50</v>
      </c>
      <c r="K9" s="80" t="s">
        <v>103</v>
      </c>
      <c r="L9" s="81" t="n">
        <f aca="false">IFERROR(INDEX('Driver Standings'!$M$2:$M$23,MATCH(J9,'Driver Standings'!$B$2:$B$23,0)),0)</f>
        <v>0</v>
      </c>
      <c r="M9" s="81" t="n">
        <f aca="false">COUNTIFS('Race Results'!$Q$2:$Q$25,J9,'Race Results'!$R$2:$R$25,"Yes")</f>
        <v>0</v>
      </c>
      <c r="P9" s="80" t="s">
        <v>50</v>
      </c>
      <c r="Q9" s="81" t="n">
        <f aca="false">IFERROR(INDEX('Driver Standings'!$E$2:$E$23,MATCH(P9,'Driver Standings'!$B$2:$B$23,0)),0)</f>
        <v>49</v>
      </c>
      <c r="R9" s="81" t="n">
        <f aca="false">Q9+612</f>
        <v>661</v>
      </c>
      <c r="S9" s="121" t="str">
        <f aca="false">IF(R9&gt;=MAX('Driver Standings'!$E$2:$E$23),"✅ YES","❌ OUT")</f>
        <v>✅ YES</v>
      </c>
    </row>
    <row r="10" customFormat="false" ht="15.75" hidden="false" customHeight="true" outlineLevel="0" collapsed="false">
      <c r="A10" s="85" t="n">
        <v>6</v>
      </c>
      <c r="B10" s="84" t="s">
        <v>52</v>
      </c>
      <c r="C10" s="84" t="s">
        <v>105</v>
      </c>
      <c r="D10" s="85" t="n">
        <f aca="false">IF(1&lt;1,"",IFERROR('Chart Data'!B7,0))</f>
        <v>10</v>
      </c>
      <c r="E10" s="85" t="n">
        <f aca="false">IF(1&lt;1,"",IFERROR('Chart Data'!B7,0))</f>
        <v>10</v>
      </c>
      <c r="F10" s="85" t="n">
        <f aca="false">IFERROR('Chart Data'!C7,0)</f>
        <v>5</v>
      </c>
      <c r="G10" s="85" t="n">
        <f aca="false">IFERROR(D10+E10+F10,0)</f>
        <v>25</v>
      </c>
      <c r="H10" s="86" t="str">
        <f aca="false">IF(F10=0,"—",IF(F10&gt;E10,"↑",IF(F10&lt;E10,"↓","→")))</f>
        <v>↓</v>
      </c>
      <c r="J10" s="80" t="s">
        <v>51</v>
      </c>
      <c r="K10" s="80" t="s">
        <v>103</v>
      </c>
      <c r="L10" s="81" t="n">
        <f aca="false">IFERROR(INDEX('Driver Standings'!$M$2:$M$23,MATCH(J10,'Driver Standings'!$B$2:$B$23,0)),0)</f>
        <v>0</v>
      </c>
      <c r="M10" s="81" t="n">
        <f aca="false">COUNTIFS('Race Results'!$Q$2:$Q$25,J10,'Race Results'!$R$2:$R$25,"Yes")</f>
        <v>0</v>
      </c>
      <c r="P10" s="80" t="s">
        <v>51</v>
      </c>
      <c r="Q10" s="81" t="n">
        <f aca="false">IFERROR(INDEX('Driver Standings'!$E$2:$E$23,MATCH(P10,'Driver Standings'!$B$2:$B$23,0)),0)</f>
        <v>41</v>
      </c>
      <c r="R10" s="81" t="n">
        <f aca="false">Q10+612</f>
        <v>653</v>
      </c>
      <c r="S10" s="121" t="str">
        <f aca="false">IF(R10&gt;=MAX('Driver Standings'!$E$2:$E$23),"✅ YES","❌ OUT")</f>
        <v>✅ YES</v>
      </c>
    </row>
    <row r="11" customFormat="false" ht="15.75" hidden="false" customHeight="true" outlineLevel="0" collapsed="false">
      <c r="A11" s="97" t="n">
        <v>7</v>
      </c>
      <c r="B11" s="96" t="s">
        <v>57</v>
      </c>
      <c r="C11" s="96" t="s">
        <v>106</v>
      </c>
      <c r="D11" s="97" t="n">
        <f aca="false">IF(1&lt;1,"",IFERROR('Chart Data'!B8,0))</f>
        <v>1</v>
      </c>
      <c r="E11" s="97" t="n">
        <f aca="false">IF(1&lt;1,"",IFERROR('Chart Data'!B8,0))</f>
        <v>1</v>
      </c>
      <c r="F11" s="97" t="n">
        <f aca="false">IFERROR('Chart Data'!C8,0)</f>
        <v>8</v>
      </c>
      <c r="G11" s="97" t="n">
        <f aca="false">IFERROR(D11+E11+F11,0)</f>
        <v>10</v>
      </c>
      <c r="H11" s="98" t="str">
        <f aca="false">IF(F11=0,"—",IF(F11&gt;E11,"↑",IF(F11&lt;E11,"↓","→")))</f>
        <v>↑</v>
      </c>
      <c r="J11" s="108" t="s">
        <v>54</v>
      </c>
      <c r="K11" s="108" t="s">
        <v>104</v>
      </c>
      <c r="L11" s="109" t="n">
        <f aca="false">IFERROR(INDEX('Driver Standings'!$M$2:$M$23,MATCH(J11,'Driver Standings'!$B$2:$B$23,0)),0)</f>
        <v>0</v>
      </c>
      <c r="M11" s="109" t="n">
        <f aca="false">COUNTIFS('Race Results'!$Q$2:$Q$25,J11,'Race Results'!$R$2:$R$25,"Yes")</f>
        <v>0</v>
      </c>
      <c r="P11" s="108" t="s">
        <v>54</v>
      </c>
      <c r="Q11" s="109" t="n">
        <f aca="false">IFERROR(INDEX('Driver Standings'!$E$2:$E$23,MATCH(P11,'Driver Standings'!$B$2:$B$23,0)),0)</f>
        <v>17</v>
      </c>
      <c r="R11" s="109" t="n">
        <f aca="false">Q11+612</f>
        <v>629</v>
      </c>
      <c r="S11" s="122" t="str">
        <f aca="false">IF(R11&gt;=MAX('Driver Standings'!$E$2:$E$23),"✅ YES","❌ OUT")</f>
        <v>✅ YES</v>
      </c>
    </row>
    <row r="12" customFormat="false" ht="15.75" hidden="false" customHeight="true" outlineLevel="0" collapsed="false">
      <c r="A12" s="89" t="n">
        <v>8</v>
      </c>
      <c r="B12" s="88" t="s">
        <v>53</v>
      </c>
      <c r="C12" s="88" t="s">
        <v>107</v>
      </c>
      <c r="D12" s="89" t="n">
        <f aca="false">IF(1&lt;1,"",IFERROR('Chart Data'!B9,0))</f>
        <v>8</v>
      </c>
      <c r="E12" s="89" t="n">
        <f aca="false">IF(1&lt;1,"",IFERROR('Chart Data'!B9,0))</f>
        <v>8</v>
      </c>
      <c r="F12" s="89" t="n">
        <f aca="false">IFERROR('Chart Data'!C9,0)</f>
        <v>0</v>
      </c>
      <c r="G12" s="89" t="n">
        <f aca="false">IFERROR(D12+E12+F12,0)</f>
        <v>16</v>
      </c>
      <c r="H12" s="90" t="str">
        <f aca="false">IF(F12=0,"—",IF(F12&gt;E12,"↑",IF(F12&lt;E12,"↓","→")))</f>
        <v>—</v>
      </c>
      <c r="J12" s="84" t="s">
        <v>52</v>
      </c>
      <c r="K12" s="84" t="s">
        <v>105</v>
      </c>
      <c r="L12" s="85" t="n">
        <f aca="false">IFERROR(INDEX('Driver Standings'!$M$2:$M$23,MATCH(J12,'Driver Standings'!$B$2:$B$23,0)),0)</f>
        <v>0</v>
      </c>
      <c r="M12" s="85" t="n">
        <f aca="false">COUNTIFS('Race Results'!$Q$2:$Q$25,J12,'Race Results'!$R$2:$R$25,"Yes")</f>
        <v>0</v>
      </c>
      <c r="P12" s="84" t="s">
        <v>52</v>
      </c>
      <c r="Q12" s="85" t="n">
        <f aca="false">IFERROR(INDEX('Driver Standings'!$E$2:$E$23,MATCH(P12,'Driver Standings'!$B$2:$B$23,0)),0)</f>
        <v>25</v>
      </c>
      <c r="R12" s="85" t="n">
        <f aca="false">Q12+612</f>
        <v>637</v>
      </c>
      <c r="S12" s="123" t="str">
        <f aca="false">IF(R12&gt;=MAX('Driver Standings'!$E$2:$E$23),"✅ YES","❌ OUT")</f>
        <v>✅ YES</v>
      </c>
    </row>
    <row r="13" customFormat="false" ht="15.75" hidden="false" customHeight="true" outlineLevel="0" collapsed="false">
      <c r="A13" s="105" t="n">
        <v>9</v>
      </c>
      <c r="B13" s="104" t="s">
        <v>61</v>
      </c>
      <c r="C13" s="104" t="s">
        <v>108</v>
      </c>
      <c r="D13" s="105" t="n">
        <f aca="false">IF(1&lt;1,"",IFERROR('Chart Data'!B10,0))</f>
        <v>0</v>
      </c>
      <c r="E13" s="105" t="n">
        <f aca="false">IF(1&lt;1,"",IFERROR('Chart Data'!B10,0))</f>
        <v>0</v>
      </c>
      <c r="F13" s="105" t="n">
        <f aca="false">IFERROR('Chart Data'!C10,0)</f>
        <v>8</v>
      </c>
      <c r="G13" s="105" t="n">
        <f aca="false">IFERROR(D13+E13+F13,0)</f>
        <v>8</v>
      </c>
      <c r="H13" s="106" t="str">
        <f aca="false">IF(F13=0,"—",IF(F13&gt;E13,"↑",IF(F13&lt;E13,"↓","→")))</f>
        <v>↑</v>
      </c>
      <c r="J13" s="96" t="s">
        <v>57</v>
      </c>
      <c r="K13" s="96" t="s">
        <v>106</v>
      </c>
      <c r="L13" s="97" t="n">
        <f aca="false">IFERROR(INDEX('Driver Standings'!$M$2:$M$23,MATCH(J13,'Driver Standings'!$B$2:$B$23,0)),0)</f>
        <v>0</v>
      </c>
      <c r="M13" s="97" t="n">
        <f aca="false">COUNTIFS('Race Results'!$Q$2:$Q$25,J13,'Race Results'!$R$2:$R$25,"Yes")</f>
        <v>0</v>
      </c>
      <c r="P13" s="96" t="s">
        <v>57</v>
      </c>
      <c r="Q13" s="97" t="n">
        <f aca="false">IFERROR(INDEX('Driver Standings'!$E$2:$E$23,MATCH(P13,'Driver Standings'!$B$2:$B$23,0)),0)</f>
        <v>15</v>
      </c>
      <c r="R13" s="97" t="n">
        <f aca="false">Q13+612</f>
        <v>627</v>
      </c>
      <c r="S13" s="124" t="str">
        <f aca="false">IF(R13&gt;=MAX('Driver Standings'!$E$2:$E$23),"✅ YES","❌ OUT")</f>
        <v>✅ YES</v>
      </c>
    </row>
    <row r="14" customFormat="false" ht="15.75" hidden="false" customHeight="true" outlineLevel="0" collapsed="false">
      <c r="A14" s="89" t="n">
        <v>10</v>
      </c>
      <c r="B14" s="88" t="s">
        <v>62</v>
      </c>
      <c r="C14" s="88" t="s">
        <v>107</v>
      </c>
      <c r="D14" s="89" t="n">
        <f aca="false">IF(1&lt;1,"",IFERROR('Chart Data'!B11,0))</f>
        <v>0</v>
      </c>
      <c r="E14" s="89" t="n">
        <f aca="false">IF(1&lt;1,"",IFERROR('Chart Data'!B11,0))</f>
        <v>0</v>
      </c>
      <c r="F14" s="89" t="n">
        <f aca="false">IFERROR('Chart Data'!C11,0)</f>
        <v>4</v>
      </c>
      <c r="G14" s="89" t="n">
        <f aca="false">IFERROR(D14+E14+F14,0)</f>
        <v>4</v>
      </c>
      <c r="H14" s="90" t="str">
        <f aca="false">IF(F14=0,"—",IF(F14&gt;E14,"↑",IF(F14&lt;E14,"↓","→")))</f>
        <v>↑</v>
      </c>
      <c r="J14" s="88" t="s">
        <v>53</v>
      </c>
      <c r="K14" s="88" t="s">
        <v>107</v>
      </c>
      <c r="L14" s="89" t="n">
        <f aca="false">IFERROR(INDEX('Driver Standings'!$M$2:$M$23,MATCH(J14,'Driver Standings'!$B$2:$B$23,0)),0)</f>
        <v>0</v>
      </c>
      <c r="M14" s="89" t="n">
        <f aca="false">COUNTIFS('Race Results'!$Q$2:$Q$25,J14,'Race Results'!$R$2:$R$25,"Yes")</f>
        <v>0</v>
      </c>
      <c r="P14" s="88" t="s">
        <v>53</v>
      </c>
      <c r="Q14" s="89" t="n">
        <f aca="false">IFERROR(INDEX('Driver Standings'!$E$2:$E$23,MATCH(P14,'Driver Standings'!$B$2:$B$23,0)),0)</f>
        <v>12</v>
      </c>
      <c r="R14" s="89" t="n">
        <f aca="false">Q14+612</f>
        <v>624</v>
      </c>
      <c r="S14" s="125" t="str">
        <f aca="false">IF(R14&gt;=MAX('Driver Standings'!$E$2:$E$23),"✅ YES","❌ OUT")</f>
        <v>✅ YES</v>
      </c>
    </row>
    <row r="15" customFormat="false" ht="15.75" hidden="false" customHeight="true" outlineLevel="0" collapsed="false">
      <c r="A15" s="105" t="n">
        <v>11</v>
      </c>
      <c r="B15" s="104" t="s">
        <v>55</v>
      </c>
      <c r="C15" s="104" t="s">
        <v>108</v>
      </c>
      <c r="D15" s="105" t="n">
        <f aca="false">IF(1&lt;1,"",IFERROR('Chart Data'!B12,0))</f>
        <v>4</v>
      </c>
      <c r="E15" s="105" t="n">
        <f aca="false">IF(1&lt;1,"",IFERROR('Chart Data'!B12,0))</f>
        <v>4</v>
      </c>
      <c r="F15" s="105" t="n">
        <f aca="false">IFERROR('Chart Data'!C12,0)</f>
        <v>0</v>
      </c>
      <c r="G15" s="105" t="n">
        <f aca="false">IFERROR(D15+E15+F15,0)</f>
        <v>8</v>
      </c>
      <c r="H15" s="106" t="str">
        <f aca="false">IF(F15=0,"—",IF(F15&gt;E15,"↑",IF(F15&lt;E15,"↓","→")))</f>
        <v>—</v>
      </c>
      <c r="J15" s="104" t="s">
        <v>61</v>
      </c>
      <c r="K15" s="104" t="s">
        <v>108</v>
      </c>
      <c r="L15" s="105" t="n">
        <f aca="false">IFERROR(INDEX('Driver Standings'!$M$2:$M$23,MATCH(J15,'Driver Standings'!$B$2:$B$23,0)),0)</f>
        <v>0</v>
      </c>
      <c r="M15" s="105" t="n">
        <f aca="false">COUNTIFS('Race Results'!$Q$2:$Q$25,J15,'Race Results'!$R$2:$R$25,"Yes")</f>
        <v>0</v>
      </c>
      <c r="P15" s="104" t="s">
        <v>61</v>
      </c>
      <c r="Q15" s="105" t="n">
        <f aca="false">IFERROR(INDEX('Driver Standings'!$E$2:$E$23,MATCH(P15,'Driver Standings'!$B$2:$B$23,0)),0)</f>
        <v>10</v>
      </c>
      <c r="R15" s="105" t="n">
        <f aca="false">Q15+612</f>
        <v>622</v>
      </c>
      <c r="S15" s="126" t="str">
        <f aca="false">IF(R15&gt;=MAX('Driver Standings'!$E$2:$E$23),"✅ YES","❌ OUT")</f>
        <v>✅ YES</v>
      </c>
    </row>
    <row r="16" customFormat="false" ht="15.75" hidden="false" customHeight="true" outlineLevel="0" collapsed="false">
      <c r="A16" s="85" t="n">
        <v>12</v>
      </c>
      <c r="B16" s="84" t="s">
        <v>68</v>
      </c>
      <c r="C16" s="84" t="s">
        <v>105</v>
      </c>
      <c r="D16" s="85" t="n">
        <f aca="false">IF(1&lt;1,"",IFERROR('Chart Data'!B13,0))</f>
        <v>0</v>
      </c>
      <c r="E16" s="85" t="n">
        <f aca="false">IF(1&lt;1,"",IFERROR('Chart Data'!B13,0))</f>
        <v>0</v>
      </c>
      <c r="F16" s="85" t="n">
        <f aca="false">IFERROR('Chart Data'!C13,0)</f>
        <v>3</v>
      </c>
      <c r="G16" s="85" t="n">
        <f aca="false">IFERROR(D16+E16+F16,0)</f>
        <v>3</v>
      </c>
      <c r="H16" s="86" t="str">
        <f aca="false">IF(F16=0,"—",IF(F16&gt;E16,"↑",IF(F16&lt;E16,"↓","→")))</f>
        <v>↑</v>
      </c>
      <c r="J16" s="88" t="s">
        <v>62</v>
      </c>
      <c r="K16" s="88" t="s">
        <v>107</v>
      </c>
      <c r="L16" s="89" t="n">
        <f aca="false">IFERROR(INDEX('Driver Standings'!$M$2:$M$23,MATCH(J16,'Driver Standings'!$B$2:$B$23,0)),0)</f>
        <v>0</v>
      </c>
      <c r="M16" s="89" t="n">
        <f aca="false">COUNTIFS('Race Results'!$Q$2:$Q$25,J16,'Race Results'!$R$2:$R$25,"Yes")</f>
        <v>0</v>
      </c>
      <c r="P16" s="88" t="s">
        <v>62</v>
      </c>
      <c r="Q16" s="89" t="n">
        <f aca="false">IFERROR(INDEX('Driver Standings'!$E$2:$E$23,MATCH(P16,'Driver Standings'!$B$2:$B$23,0)),0)</f>
        <v>4</v>
      </c>
      <c r="R16" s="89" t="n">
        <f aca="false">Q16+612</f>
        <v>616</v>
      </c>
      <c r="S16" s="125" t="str">
        <f aca="false">IF(R16&gt;=MAX('Driver Standings'!$E$2:$E$23),"✅ YES","❌ OUT")</f>
        <v>✅ YES</v>
      </c>
    </row>
    <row r="17" customFormat="false" ht="15.75" hidden="false" customHeight="true" outlineLevel="0" collapsed="false">
      <c r="A17" s="101" t="n">
        <v>13</v>
      </c>
      <c r="B17" s="100" t="s">
        <v>63</v>
      </c>
      <c r="C17" s="100" t="s">
        <v>109</v>
      </c>
      <c r="D17" s="101" t="n">
        <f aca="false">IF(1&lt;1,"",IFERROR('Chart Data'!B14,0))</f>
        <v>0</v>
      </c>
      <c r="E17" s="101" t="n">
        <f aca="false">IF(1&lt;1,"",IFERROR('Chart Data'!B14,0))</f>
        <v>0</v>
      </c>
      <c r="F17" s="101" t="n">
        <f aca="false">IFERROR('Chart Data'!C14,0)</f>
        <v>2</v>
      </c>
      <c r="G17" s="101" t="n">
        <f aca="false">IFERROR(D17+E17+F17,0)</f>
        <v>2</v>
      </c>
      <c r="H17" s="102" t="str">
        <f aca="false">IF(F17=0,"—",IF(F17&gt;E17,"↑",IF(F17&lt;E17,"↓","→")))</f>
        <v>↑</v>
      </c>
      <c r="J17" s="104" t="s">
        <v>55</v>
      </c>
      <c r="K17" s="104" t="s">
        <v>108</v>
      </c>
      <c r="L17" s="105" t="n">
        <f aca="false">IFERROR(INDEX('Driver Standings'!$M$2:$M$23,MATCH(J17,'Driver Standings'!$B$2:$B$23,0)),0)</f>
        <v>0</v>
      </c>
      <c r="M17" s="105" t="n">
        <f aca="false">COUNTIFS('Race Results'!$Q$2:$Q$25,J17,'Race Results'!$R$2:$R$25,"Yes")</f>
        <v>0</v>
      </c>
      <c r="P17" s="104" t="s">
        <v>55</v>
      </c>
      <c r="Q17" s="105" t="n">
        <f aca="false">IFERROR(INDEX('Driver Standings'!$E$2:$E$23,MATCH(P17,'Driver Standings'!$B$2:$B$23,0)),0)</f>
        <v>4</v>
      </c>
      <c r="R17" s="105" t="n">
        <f aca="false">Q17+612</f>
        <v>616</v>
      </c>
      <c r="S17" s="126" t="str">
        <f aca="false">IF(R17&gt;=MAX('Driver Standings'!$E$2:$E$23),"✅ YES","❌ OUT")</f>
        <v>✅ YES</v>
      </c>
    </row>
    <row r="18" customFormat="false" ht="15.75" hidden="false" customHeight="true" outlineLevel="0" collapsed="false">
      <c r="A18" s="113" t="n">
        <v>14</v>
      </c>
      <c r="B18" s="112" t="s">
        <v>56</v>
      </c>
      <c r="C18" s="112" t="s">
        <v>110</v>
      </c>
      <c r="D18" s="113" t="n">
        <f aca="false">IF(1&lt;1,"",IFERROR('Chart Data'!B15,0))</f>
        <v>2</v>
      </c>
      <c r="E18" s="113" t="n">
        <f aca="false">IF(1&lt;1,"",IFERROR('Chart Data'!B15,0))</f>
        <v>2</v>
      </c>
      <c r="F18" s="113" t="n">
        <f aca="false">IFERROR('Chart Data'!C15,0)</f>
        <v>0</v>
      </c>
      <c r="G18" s="113" t="n">
        <f aca="false">IFERROR(D18+E18+F18,0)</f>
        <v>4</v>
      </c>
      <c r="H18" s="114" t="str">
        <f aca="false">IF(F18=0,"—",IF(F18&gt;E18,"↑",IF(F18&lt;E18,"↓","→")))</f>
        <v>—</v>
      </c>
      <c r="J18" s="84" t="s">
        <v>68</v>
      </c>
      <c r="K18" s="84" t="s">
        <v>105</v>
      </c>
      <c r="L18" s="85" t="n">
        <f aca="false">IFERROR(INDEX('Driver Standings'!$M$2:$M$23,MATCH(J18,'Driver Standings'!$B$2:$B$23,0)),0)</f>
        <v>0</v>
      </c>
      <c r="M18" s="85" t="n">
        <f aca="false">COUNTIFS('Race Results'!$Q$2:$Q$25,J18,'Race Results'!$R$2:$R$25,"Yes")</f>
        <v>0</v>
      </c>
      <c r="P18" s="84" t="s">
        <v>68</v>
      </c>
      <c r="Q18" s="85" t="n">
        <f aca="false">IFERROR(INDEX('Driver Standings'!$E$2:$E$23,MATCH(P18,'Driver Standings'!$B$2:$B$23,0)),0)</f>
        <v>21</v>
      </c>
      <c r="R18" s="85" t="n">
        <f aca="false">Q18+612</f>
        <v>633</v>
      </c>
      <c r="S18" s="123" t="str">
        <f aca="false">IF(R18&gt;=MAX('Driver Standings'!$E$2:$E$23),"✅ YES","❌ OUT")</f>
        <v>✅ YES</v>
      </c>
    </row>
    <row r="19" customFormat="false" ht="15.75" hidden="false" customHeight="true" outlineLevel="0" collapsed="false">
      <c r="A19" s="97" t="n">
        <v>15</v>
      </c>
      <c r="B19" s="96" t="s">
        <v>64</v>
      </c>
      <c r="C19" s="96" t="s">
        <v>106</v>
      </c>
      <c r="D19" s="97" t="n">
        <f aca="false">IF(1&lt;1,"",IFERROR('Chart Data'!B16,0))</f>
        <v>0</v>
      </c>
      <c r="E19" s="97" t="n">
        <f aca="false">IF(1&lt;1,"",IFERROR('Chart Data'!B16,0))</f>
        <v>0</v>
      </c>
      <c r="F19" s="97" t="n">
        <f aca="false">IFERROR('Chart Data'!C16,0)</f>
        <v>1</v>
      </c>
      <c r="G19" s="97" t="n">
        <f aca="false">IFERROR(D19+E19+F19,0)</f>
        <v>1</v>
      </c>
      <c r="H19" s="98" t="str">
        <f aca="false">IF(F19=0,"—",IF(F19&gt;E19,"↑",IF(F19&lt;E19,"↓","→")))</f>
        <v>↑</v>
      </c>
      <c r="J19" s="100" t="s">
        <v>63</v>
      </c>
      <c r="K19" s="100" t="s">
        <v>109</v>
      </c>
      <c r="L19" s="101" t="n">
        <f aca="false">IFERROR(INDEX('Driver Standings'!$M$2:$M$23,MATCH(J19,'Driver Standings'!$B$2:$B$23,0)),0)</f>
        <v>0</v>
      </c>
      <c r="M19" s="101" t="n">
        <f aca="false">COUNTIFS('Race Results'!$Q$2:$Q$25,J19,'Race Results'!$R$2:$R$25,"Yes")</f>
        <v>0</v>
      </c>
      <c r="P19" s="100" t="s">
        <v>63</v>
      </c>
      <c r="Q19" s="101" t="n">
        <f aca="false">IFERROR(INDEX('Driver Standings'!$E$2:$E$23,MATCH(P19,'Driver Standings'!$B$2:$B$23,0)),0)</f>
        <v>2</v>
      </c>
      <c r="R19" s="101" t="n">
        <f aca="false">Q19+612</f>
        <v>614</v>
      </c>
      <c r="S19" s="127" t="str">
        <f aca="false">IF(R19&gt;=MAX('Driver Standings'!$E$2:$E$23),"✅ YES","❌ OUT")</f>
        <v>✅ YES</v>
      </c>
    </row>
    <row r="20" customFormat="false" ht="15.75" hidden="false" customHeight="true" outlineLevel="0" collapsed="false">
      <c r="A20" s="93" t="n">
        <v>16</v>
      </c>
      <c r="B20" s="92" t="s">
        <v>111</v>
      </c>
      <c r="C20" s="92" t="s">
        <v>112</v>
      </c>
      <c r="D20" s="93" t="n">
        <f aca="false">IF(1&lt;1,"",IFERROR('Chart Data'!B17,0))</f>
        <v>0</v>
      </c>
      <c r="E20" s="93" t="n">
        <f aca="false">IF(1&lt;1,"",IFERROR('Chart Data'!B17,0))</f>
        <v>0</v>
      </c>
      <c r="F20" s="93" t="n">
        <f aca="false">IFERROR('Chart Data'!C17,0)</f>
        <v>0</v>
      </c>
      <c r="G20" s="93" t="n">
        <f aca="false">IFERROR(D20+E20+F20,0)</f>
        <v>0</v>
      </c>
      <c r="H20" s="94" t="str">
        <f aca="false">IF(F20=0,"—",IF(F20&gt;E20,"↑",IF(F20&lt;E20,"↓","→")))</f>
        <v>—</v>
      </c>
      <c r="J20" s="112" t="s">
        <v>56</v>
      </c>
      <c r="K20" s="112" t="s">
        <v>110</v>
      </c>
      <c r="L20" s="113" t="n">
        <f aca="false">IFERROR(INDEX('Driver Standings'!$M$2:$M$23,MATCH(J20,'Driver Standings'!$B$2:$B$23,0)),0)</f>
        <v>0</v>
      </c>
      <c r="M20" s="113" t="n">
        <f aca="false">COUNTIFS('Race Results'!$Q$2:$Q$25,J20,'Race Results'!$R$2:$R$25,"Yes")</f>
        <v>0</v>
      </c>
      <c r="P20" s="112" t="s">
        <v>56</v>
      </c>
      <c r="Q20" s="113" t="n">
        <f aca="false">IFERROR(INDEX('Driver Standings'!$E$2:$E$23,MATCH(P20,'Driver Standings'!$B$2:$B$23,0)),0)</f>
        <v>2</v>
      </c>
      <c r="R20" s="113" t="n">
        <f aca="false">Q20+612</f>
        <v>614</v>
      </c>
      <c r="S20" s="128" t="str">
        <f aca="false">IF(R20&gt;=MAX('Driver Standings'!$E$2:$E$23),"✅ YES","❌ OUT")</f>
        <v>✅ YES</v>
      </c>
    </row>
    <row r="21" customFormat="false" ht="15.75" hidden="false" customHeight="true" outlineLevel="0" collapsed="false">
      <c r="A21" s="93" t="n">
        <v>17</v>
      </c>
      <c r="B21" s="92" t="s">
        <v>113</v>
      </c>
      <c r="C21" s="92" t="s">
        <v>112</v>
      </c>
      <c r="D21" s="93" t="n">
        <f aca="false">IF(1&lt;1,"",IFERROR('Chart Data'!B18,0))</f>
        <v>0</v>
      </c>
      <c r="E21" s="93" t="n">
        <f aca="false">IF(1&lt;1,"",IFERROR('Chart Data'!B18,0))</f>
        <v>0</v>
      </c>
      <c r="F21" s="93" t="n">
        <f aca="false">IFERROR('Chart Data'!C18,0)</f>
        <v>0</v>
      </c>
      <c r="G21" s="93" t="n">
        <f aca="false">IFERROR(D21+E21+F21,0)</f>
        <v>0</v>
      </c>
      <c r="H21" s="94" t="str">
        <f aca="false">IF(F21=0,"—",IF(F21&gt;E21,"↑",IF(F21&lt;E21,"↓","→")))</f>
        <v>—</v>
      </c>
      <c r="J21" s="96" t="s">
        <v>64</v>
      </c>
      <c r="K21" s="96" t="s">
        <v>106</v>
      </c>
      <c r="L21" s="97" t="n">
        <f aca="false">IFERROR(INDEX('Driver Standings'!$M$2:$M$23,MATCH(J21,'Driver Standings'!$B$2:$B$23,0)),0)</f>
        <v>0</v>
      </c>
      <c r="M21" s="97" t="n">
        <f aca="false">COUNTIFS('Race Results'!$Q$2:$Q$25,J21,'Race Results'!$R$2:$R$25,"Yes")</f>
        <v>0</v>
      </c>
      <c r="P21" s="96" t="s">
        <v>64</v>
      </c>
      <c r="Q21" s="97" t="n">
        <f aca="false">IFERROR(INDEX('Driver Standings'!$E$2:$E$23,MATCH(P21,'Driver Standings'!$B$2:$B$23,0)),0)</f>
        <v>1</v>
      </c>
      <c r="R21" s="97" t="n">
        <f aca="false">Q21+612</f>
        <v>613</v>
      </c>
      <c r="S21" s="124" t="str">
        <f aca="false">IF(R21&gt;=MAX('Driver Standings'!$E$2:$E$23),"✅ YES","❌ OUT")</f>
        <v>✅ YES</v>
      </c>
    </row>
    <row r="22" customFormat="false" ht="15.75" hidden="false" customHeight="true" outlineLevel="0" collapsed="false">
      <c r="A22" s="101" t="n">
        <v>18</v>
      </c>
      <c r="B22" s="100" t="s">
        <v>114</v>
      </c>
      <c r="C22" s="100" t="s">
        <v>109</v>
      </c>
      <c r="D22" s="101" t="n">
        <f aca="false">IF(1&lt;1,"",IFERROR('Chart Data'!B19,0))</f>
        <v>0</v>
      </c>
      <c r="E22" s="101" t="n">
        <f aca="false">IF(1&lt;1,"",IFERROR('Chart Data'!B19,0))</f>
        <v>0</v>
      </c>
      <c r="F22" s="101" t="n">
        <f aca="false">IFERROR('Chart Data'!C19,0)</f>
        <v>0</v>
      </c>
      <c r="G22" s="101" t="n">
        <f aca="false">IFERROR(D22+E22+F22,0)</f>
        <v>0</v>
      </c>
      <c r="H22" s="102" t="str">
        <f aca="false">IF(F22=0,"—",IF(F22&gt;E22,"↑",IF(F22&lt;E22,"↓","→")))</f>
        <v>—</v>
      </c>
      <c r="J22" s="92" t="s">
        <v>111</v>
      </c>
      <c r="K22" s="92" t="s">
        <v>112</v>
      </c>
      <c r="L22" s="93" t="n">
        <f aca="false">IFERROR(INDEX('Driver Standings'!$M$2:$M$23,MATCH(J22,'Driver Standings'!$B$2:$B$23,0)),0)</f>
        <v>0</v>
      </c>
      <c r="M22" s="93" t="n">
        <f aca="false">COUNTIFS('Race Results'!$Q$2:$Q$25,J22,'Race Results'!$R$2:$R$25,"Yes")</f>
        <v>0</v>
      </c>
      <c r="P22" s="92" t="s">
        <v>111</v>
      </c>
      <c r="Q22" s="93" t="n">
        <f aca="false">IFERROR(INDEX('Driver Standings'!$E$2:$E$23,MATCH(P22,'Driver Standings'!$B$2:$B$23,0)),0)</f>
        <v>0</v>
      </c>
      <c r="R22" s="93" t="n">
        <f aca="false">Q22+612</f>
        <v>612</v>
      </c>
      <c r="S22" s="129" t="str">
        <f aca="false">IF(R22&gt;=MAX('Driver Standings'!$E$2:$E$23),"✅ YES","❌ OUT")</f>
        <v>✅ YES</v>
      </c>
    </row>
    <row r="23" customFormat="false" ht="15.75" hidden="false" customHeight="true" outlineLevel="0" collapsed="false">
      <c r="A23" s="109" t="n">
        <v>19</v>
      </c>
      <c r="B23" s="108" t="s">
        <v>69</v>
      </c>
      <c r="C23" s="108" t="s">
        <v>104</v>
      </c>
      <c r="D23" s="109" t="n">
        <f aca="false">IF(1&lt;1,"",IFERROR('Chart Data'!B20,0))</f>
        <v>0</v>
      </c>
      <c r="E23" s="109" t="n">
        <f aca="false">IF(1&lt;1,"",IFERROR('Chart Data'!B20,0))</f>
        <v>0</v>
      </c>
      <c r="F23" s="109" t="n">
        <f aca="false">IFERROR('Chart Data'!C20,0)</f>
        <v>0</v>
      </c>
      <c r="G23" s="109" t="n">
        <f aca="false">IFERROR(D23+E23+F23,0)</f>
        <v>0</v>
      </c>
      <c r="H23" s="110" t="str">
        <f aca="false">IF(F23=0,"—",IF(F23&gt;E23,"↑",IF(F23&lt;E23,"↓","→")))</f>
        <v>—</v>
      </c>
      <c r="J23" s="92" t="s">
        <v>113</v>
      </c>
      <c r="K23" s="92" t="s">
        <v>112</v>
      </c>
      <c r="L23" s="93" t="n">
        <f aca="false">IFERROR(INDEX('Driver Standings'!$M$2:$M$23,MATCH(J23,'Driver Standings'!$B$2:$B$23,0)),0)</f>
        <v>0</v>
      </c>
      <c r="M23" s="93" t="n">
        <f aca="false">COUNTIFS('Race Results'!$Q$2:$Q$25,J23,'Race Results'!$R$2:$R$25,"Yes")</f>
        <v>0</v>
      </c>
      <c r="P23" s="92" t="s">
        <v>113</v>
      </c>
      <c r="Q23" s="93" t="n">
        <f aca="false">IFERROR(INDEX('Driver Standings'!$E$2:$E$23,MATCH(P23,'Driver Standings'!$B$2:$B$23,0)),0)</f>
        <v>0</v>
      </c>
      <c r="R23" s="93" t="n">
        <f aca="false">Q23+612</f>
        <v>612</v>
      </c>
      <c r="S23" s="129" t="str">
        <f aca="false">IF(R23&gt;=MAX('Driver Standings'!$E$2:$E$23),"✅ YES","❌ OUT")</f>
        <v>✅ YES</v>
      </c>
    </row>
    <row r="24" customFormat="false" ht="15.75" hidden="false" customHeight="true" outlineLevel="0" collapsed="false">
      <c r="A24" s="113" t="n">
        <v>20</v>
      </c>
      <c r="B24" s="112" t="s">
        <v>115</v>
      </c>
      <c r="C24" s="112" t="s">
        <v>110</v>
      </c>
      <c r="D24" s="113" t="n">
        <f aca="false">IF(1&lt;1,"",IFERROR('Chart Data'!B21,0))</f>
        <v>0</v>
      </c>
      <c r="E24" s="113" t="n">
        <f aca="false">IF(1&lt;1,"",IFERROR('Chart Data'!B21,0))</f>
        <v>0</v>
      </c>
      <c r="F24" s="113" t="n">
        <f aca="false">IFERROR('Chart Data'!C21,0)</f>
        <v>0</v>
      </c>
      <c r="G24" s="113" t="n">
        <f aca="false">IFERROR(D24+E24+F24,0)</f>
        <v>0</v>
      </c>
      <c r="H24" s="114" t="str">
        <f aca="false">IF(F24=0,"—",IF(F24&gt;E24,"↑",IF(F24&lt;E24,"↓","→")))</f>
        <v>—</v>
      </c>
      <c r="J24" s="100" t="s">
        <v>114</v>
      </c>
      <c r="K24" s="100" t="s">
        <v>109</v>
      </c>
      <c r="L24" s="101" t="n">
        <f aca="false">IFERROR(INDEX('Driver Standings'!$M$2:$M$23,MATCH(J24,'Driver Standings'!$B$2:$B$23,0)),0)</f>
        <v>0</v>
      </c>
      <c r="M24" s="101" t="n">
        <f aca="false">COUNTIFS('Race Results'!$Q$2:$Q$25,J24,'Race Results'!$R$2:$R$25,"Yes")</f>
        <v>0</v>
      </c>
      <c r="P24" s="100" t="s">
        <v>114</v>
      </c>
      <c r="Q24" s="101" t="n">
        <f aca="false">IFERROR(INDEX('Driver Standings'!$E$2:$E$23,MATCH(P24,'Driver Standings'!$B$2:$B$23,0)),0)</f>
        <v>0</v>
      </c>
      <c r="R24" s="101" t="n">
        <f aca="false">Q24+612</f>
        <v>612</v>
      </c>
      <c r="S24" s="127" t="str">
        <f aca="false">IF(R24&gt;=MAX('Driver Standings'!$E$2:$E$23),"✅ YES","❌ OUT")</f>
        <v>✅ YES</v>
      </c>
    </row>
    <row r="25" customFormat="false" ht="15.75" hidden="false" customHeight="true" outlineLevel="0" collapsed="false">
      <c r="A25" s="117" t="n">
        <v>21</v>
      </c>
      <c r="B25" s="116" t="s">
        <v>116</v>
      </c>
      <c r="C25" s="116" t="s">
        <v>117</v>
      </c>
      <c r="D25" s="117" t="n">
        <f aca="false">IF(1&lt;1,"",IFERROR('Chart Data'!B22,0))</f>
        <v>0</v>
      </c>
      <c r="E25" s="117" t="n">
        <f aca="false">IF(1&lt;1,"",IFERROR('Chart Data'!B22,0))</f>
        <v>0</v>
      </c>
      <c r="F25" s="117" t="n">
        <f aca="false">IFERROR('Chart Data'!C22,0)</f>
        <v>0</v>
      </c>
      <c r="G25" s="117" t="n">
        <f aca="false">IFERROR(D25+E25+F25,0)</f>
        <v>0</v>
      </c>
      <c r="H25" s="118" t="str">
        <f aca="false">IF(F25=0,"—",IF(F25&gt;E25,"↑",IF(F25&lt;E25,"↓","→")))</f>
        <v>—</v>
      </c>
      <c r="J25" s="108" t="s">
        <v>69</v>
      </c>
      <c r="K25" s="108" t="s">
        <v>104</v>
      </c>
      <c r="L25" s="109" t="n">
        <f aca="false">IFERROR(INDEX('Driver Standings'!$M$2:$M$23,MATCH(J25,'Driver Standings'!$B$2:$B$23,0)),0)</f>
        <v>0</v>
      </c>
      <c r="M25" s="109" t="n">
        <f aca="false">COUNTIFS('Race Results'!$Q$2:$Q$25,J25,'Race Results'!$R$2:$R$25,"Yes")</f>
        <v>0</v>
      </c>
      <c r="P25" s="108" t="s">
        <v>69</v>
      </c>
      <c r="Q25" s="109" t="n">
        <f aca="false">IFERROR(INDEX('Driver Standings'!$E$2:$E$23,MATCH(P25,'Driver Standings'!$B$2:$B$23,0)),0)</f>
        <v>1</v>
      </c>
      <c r="R25" s="109" t="n">
        <f aca="false">Q25+612</f>
        <v>613</v>
      </c>
      <c r="S25" s="122" t="str">
        <f aca="false">IF(R25&gt;=MAX('Driver Standings'!$E$2:$E$23),"✅ YES","❌ OUT")</f>
        <v>✅ YES</v>
      </c>
    </row>
    <row r="26" customFormat="false" ht="15.75" hidden="false" customHeight="true" outlineLevel="0" collapsed="false">
      <c r="A26" s="117" t="n">
        <v>22</v>
      </c>
      <c r="B26" s="116" t="s">
        <v>118</v>
      </c>
      <c r="C26" s="116" t="s">
        <v>117</v>
      </c>
      <c r="D26" s="117" t="n">
        <f aca="false">IF(1&lt;1,"",IFERROR('Chart Data'!B23,0))</f>
        <v>0</v>
      </c>
      <c r="E26" s="117" t="n">
        <f aca="false">IF(1&lt;1,"",IFERROR('Chart Data'!B23,0))</f>
        <v>0</v>
      </c>
      <c r="F26" s="117" t="n">
        <f aca="false">IFERROR('Chart Data'!C23,0)</f>
        <v>0</v>
      </c>
      <c r="G26" s="117" t="n">
        <f aca="false">IFERROR(D26+E26+F26,0)</f>
        <v>0</v>
      </c>
      <c r="H26" s="118" t="str">
        <f aca="false">IF(F26=0,"—",IF(F26&gt;E26,"↑",IF(F26&lt;E26,"↓","→")))</f>
        <v>—</v>
      </c>
      <c r="J26" s="112" t="s">
        <v>115</v>
      </c>
      <c r="K26" s="112" t="s">
        <v>110</v>
      </c>
      <c r="L26" s="113" t="n">
        <f aca="false">IFERROR(INDEX('Driver Standings'!$M$2:$M$23,MATCH(J26,'Driver Standings'!$B$2:$B$23,0)),0)</f>
        <v>0</v>
      </c>
      <c r="M26" s="113" t="n">
        <f aca="false">COUNTIFS('Race Results'!$Q$2:$Q$25,J26,'Race Results'!$R$2:$R$25,"Yes")</f>
        <v>0</v>
      </c>
      <c r="P26" s="112" t="s">
        <v>115</v>
      </c>
      <c r="Q26" s="113" t="n">
        <f aca="false">IFERROR(INDEX('Driver Standings'!$E$2:$E$23,MATCH(P26,'Driver Standings'!$B$2:$B$23,0)),0)</f>
        <v>0</v>
      </c>
      <c r="R26" s="113" t="n">
        <f aca="false">Q26+612</f>
        <v>612</v>
      </c>
      <c r="S26" s="128" t="str">
        <f aca="false">IF(R26&gt;=MAX('Driver Standings'!$E$2:$E$23),"✅ YES","❌ OUT")</f>
        <v>✅ YES</v>
      </c>
    </row>
    <row r="27" customFormat="false" ht="15.75" hidden="false" customHeight="true" outlineLevel="0" collapsed="false">
      <c r="J27" s="116" t="s">
        <v>116</v>
      </c>
      <c r="K27" s="116" t="s">
        <v>117</v>
      </c>
      <c r="L27" s="117" t="n">
        <f aca="false">IFERROR(INDEX('Driver Standings'!$M$2:$M$23,MATCH(J27,'Driver Standings'!$B$2:$B$23,0)),0)</f>
        <v>0</v>
      </c>
      <c r="M27" s="117" t="n">
        <f aca="false">COUNTIFS('Race Results'!$Q$2:$Q$25,J27,'Race Results'!$R$2:$R$25,"Yes")</f>
        <v>0</v>
      </c>
      <c r="P27" s="116" t="s">
        <v>116</v>
      </c>
      <c r="Q27" s="117" t="n">
        <f aca="false">IFERROR(INDEX('Driver Standings'!$E$2:$E$23,MATCH(P27,'Driver Standings'!$B$2:$B$23,0)),0)</f>
        <v>0</v>
      </c>
      <c r="R27" s="117" t="n">
        <f aca="false">Q27+612</f>
        <v>612</v>
      </c>
      <c r="S27" s="130" t="str">
        <f aca="false">IF(R27&gt;=MAX('Driver Standings'!$E$2:$E$23),"✅ YES","❌ OUT")</f>
        <v>✅ YES</v>
      </c>
    </row>
    <row r="28" customFormat="false" ht="15.75" hidden="false" customHeight="true" outlineLevel="0" collapsed="false">
      <c r="J28" s="116" t="s">
        <v>118</v>
      </c>
      <c r="K28" s="116" t="s">
        <v>117</v>
      </c>
      <c r="L28" s="117" t="n">
        <f aca="false">IFERROR(INDEX('Driver Standings'!$M$2:$M$23,MATCH(J28,'Driver Standings'!$B$2:$B$23,0)),0)</f>
        <v>0</v>
      </c>
      <c r="M28" s="117" t="n">
        <f aca="false">COUNTIFS('Race Results'!$Q$2:$Q$25,J28,'Race Results'!$R$2:$R$25,"Yes")</f>
        <v>0</v>
      </c>
      <c r="P28" s="116" t="s">
        <v>118</v>
      </c>
      <c r="Q28" s="117" t="n">
        <f aca="false">IFERROR(INDEX('Driver Standings'!$E$2:$E$23,MATCH(P28,'Driver Standings'!$B$2:$B$23,0)),0)</f>
        <v>0</v>
      </c>
      <c r="R28" s="117" t="n">
        <f aca="false">Q28+612</f>
        <v>612</v>
      </c>
      <c r="S28" s="130" t="str">
        <f aca="false">IF(R28&gt;=MAX('Driver Standings'!$E$2:$E$23),"✅ YES","❌ OUT")</f>
        <v>✅ YES</v>
      </c>
    </row>
    <row r="30" customFormat="false" ht="15" hidden="false" customHeight="true" outlineLevel="0" collapsed="false">
      <c r="P30" s="26" t="s">
        <v>202</v>
      </c>
      <c r="Q30" s="26"/>
      <c r="R30" s="26"/>
      <c r="S30" s="26"/>
    </row>
  </sheetData>
  <sheetProtection sheet="true" password="c755"/>
  <mergeCells count="5">
    <mergeCell ref="A1:R1"/>
    <mergeCell ref="A3:H3"/>
    <mergeCell ref="J5:N5"/>
    <mergeCell ref="P5:R5"/>
    <mergeCell ref="P30:S30"/>
  </mergeCells>
  <conditionalFormatting sqref="H5:H26">
    <cfRule type="cellIs" priority="2" operator="equal" aboveAverage="0" equalAverage="0" bottom="0" percent="0" rank="0" text="" dxfId="32">
      <formula>"↑"</formula>
    </cfRule>
    <cfRule type="cellIs" priority="3" operator="equal" aboveAverage="0" equalAverage="0" bottom="0" percent="0" rank="0" text="" dxfId="31">
      <formula>"↓"</formula>
    </cfRule>
  </conditionalFormatting>
  <conditionalFormatting sqref="S7:S28">
    <cfRule type="cellIs" priority="4" operator="equal" aboveAverage="0" equalAverage="0" bottom="0" percent="0" rank="0" text="" dxfId="33">
      <formula>"❌ OUT"</formula>
    </cfRule>
    <cfRule type="cellIs" priority="5" operator="equal" aboveAverage="0" equalAverage="0" bottom="0" percent="0" rank="0" text="" dxfId="30">
      <formula>"✅ 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6"/>
    <col collapsed="false" customWidth="true" hidden="false" outlineLevel="0" max="6" min="6" style="1" width="40"/>
    <col collapsed="false" customWidth="true" hidden="false" outlineLevel="0" max="7" min="7" style="1" width="6"/>
    <col collapsed="false" customWidth="true" hidden="false" outlineLevel="0" max="8" min="8" style="1" width="3"/>
    <col collapsed="false" customWidth="true" hidden="false" outlineLevel="0" max="9" min="9" style="1" width="24"/>
    <col collapsed="false" customWidth="true" hidden="false" outlineLevel="0" max="12" min="10" style="1" width="7"/>
  </cols>
  <sheetData>
    <row r="1" customFormat="false" ht="34.5" hidden="false" customHeight="true" outlineLevel="0" collapsed="false">
      <c r="A1" s="28" t="s">
        <v>203</v>
      </c>
      <c r="B1" s="28"/>
      <c r="C1" s="28"/>
      <c r="D1" s="28"/>
      <c r="E1" s="28"/>
      <c r="F1" s="28"/>
      <c r="G1" s="28"/>
      <c r="H1" s="28"/>
      <c r="I1" s="28"/>
      <c r="J1" s="28"/>
    </row>
    <row r="2" customFormat="false" ht="27.75" hidden="false" customHeight="true" outlineLevel="0" collapsed="false">
      <c r="A2" s="7" t="s">
        <v>31</v>
      </c>
      <c r="B2" s="7" t="s">
        <v>20</v>
      </c>
      <c r="C2" s="7" t="s">
        <v>99</v>
      </c>
      <c r="D2" s="7" t="s">
        <v>25</v>
      </c>
      <c r="E2" s="7" t="s">
        <v>204</v>
      </c>
      <c r="F2" s="7" t="s">
        <v>205</v>
      </c>
      <c r="G2" s="7" t="s">
        <v>206</v>
      </c>
    </row>
    <row r="3" customFormat="false" ht="15" hidden="false" customHeight="true" outlineLevel="0" collapsed="false">
      <c r="A3" s="131" t="n">
        <v>1</v>
      </c>
      <c r="B3" s="132" t="s">
        <v>46</v>
      </c>
      <c r="C3" s="132" t="s">
        <v>68</v>
      </c>
      <c r="D3" s="132" t="s">
        <v>105</v>
      </c>
      <c r="E3" s="133" t="s">
        <v>207</v>
      </c>
      <c r="F3" s="132" t="s">
        <v>208</v>
      </c>
      <c r="G3" s="131"/>
      <c r="I3" s="27" t="s">
        <v>209</v>
      </c>
      <c r="J3" s="27"/>
      <c r="K3" s="27"/>
      <c r="L3" s="27"/>
    </row>
    <row r="4" customFormat="false" ht="14.25" hidden="false" customHeight="true" outlineLevel="0" collapsed="false">
      <c r="A4" s="131" t="n">
        <v>2</v>
      </c>
      <c r="B4" s="132" t="s">
        <v>59</v>
      </c>
      <c r="C4" s="132" t="s">
        <v>114</v>
      </c>
      <c r="D4" s="132" t="s">
        <v>109</v>
      </c>
      <c r="E4" s="133" t="s">
        <v>207</v>
      </c>
      <c r="F4" s="132" t="s">
        <v>210</v>
      </c>
      <c r="G4" s="131"/>
      <c r="I4" s="7" t="s">
        <v>99</v>
      </c>
      <c r="J4" s="7" t="s">
        <v>211</v>
      </c>
      <c r="K4" s="7" t="s">
        <v>212</v>
      </c>
      <c r="L4" s="7" t="s">
        <v>173</v>
      </c>
    </row>
    <row r="5" customFormat="false" ht="14.25" hidden="false" customHeight="true" outlineLevel="0" collapsed="false">
      <c r="A5" s="134" t="n">
        <v>2</v>
      </c>
      <c r="B5" s="135" t="s">
        <v>59</v>
      </c>
      <c r="C5" s="135" t="s">
        <v>111</v>
      </c>
      <c r="D5" s="135" t="s">
        <v>112</v>
      </c>
      <c r="E5" s="136" t="s">
        <v>213</v>
      </c>
      <c r="F5" s="135" t="s">
        <v>214</v>
      </c>
      <c r="G5" s="134" t="s">
        <v>215</v>
      </c>
      <c r="I5" s="9" t="s">
        <v>48</v>
      </c>
      <c r="J5" s="8" t="n">
        <f aca="false">COUNTIFS($C$3:$C$62,I5,$E$3:$E$62,"DNF")</f>
        <v>0</v>
      </c>
      <c r="K5" s="8" t="n">
        <f aca="false">COUNTIFS($C$3:$C$62,I5,$E$3:$E$62,"DNS")</f>
        <v>0</v>
      </c>
      <c r="L5" s="137" t="n">
        <f aca="false">J5+K5</f>
        <v>0</v>
      </c>
    </row>
    <row r="6" customFormat="false" ht="14.25" hidden="false" customHeight="true" outlineLevel="0" collapsed="false">
      <c r="A6" s="131" t="n">
        <v>2</v>
      </c>
      <c r="B6" s="132" t="s">
        <v>59</v>
      </c>
      <c r="C6" s="132" t="s">
        <v>56</v>
      </c>
      <c r="D6" s="132" t="s">
        <v>110</v>
      </c>
      <c r="E6" s="133" t="s">
        <v>207</v>
      </c>
      <c r="F6" s="132" t="s">
        <v>216</v>
      </c>
      <c r="G6" s="131"/>
      <c r="I6" s="11" t="s">
        <v>49</v>
      </c>
      <c r="J6" s="10" t="n">
        <f aca="false">COUNTIFS($C$3:$C$62,I6,$E$3:$E$62,"DNF")</f>
        <v>0</v>
      </c>
      <c r="K6" s="10" t="n">
        <f aca="false">COUNTIFS($C$3:$C$62,I6,$E$3:$E$62,"DNS")</f>
        <v>0</v>
      </c>
      <c r="L6" s="138" t="n">
        <f aca="false">J6+K6</f>
        <v>0</v>
      </c>
    </row>
    <row r="7" customFormat="false" ht="14.25" hidden="false" customHeight="true" outlineLevel="0" collapsed="false">
      <c r="A7" s="131" t="n">
        <v>2</v>
      </c>
      <c r="B7" s="132" t="s">
        <v>59</v>
      </c>
      <c r="C7" s="132" t="s">
        <v>52</v>
      </c>
      <c r="D7" s="132" t="s">
        <v>105</v>
      </c>
      <c r="E7" s="133" t="s">
        <v>207</v>
      </c>
      <c r="F7" s="132" t="s">
        <v>210</v>
      </c>
      <c r="G7" s="131"/>
      <c r="I7" s="9" t="s">
        <v>50</v>
      </c>
      <c r="J7" s="8" t="n">
        <f aca="false">COUNTIFS($C$3:$C$62,I7,$E$3:$E$62,"DNF")</f>
        <v>0</v>
      </c>
      <c r="K7" s="8" t="n">
        <f aca="false">COUNTIFS($C$3:$C$62,I7,$E$3:$E$62,"DNS")</f>
        <v>0</v>
      </c>
      <c r="L7" s="137" t="n">
        <f aca="false">J7+K7</f>
        <v>0</v>
      </c>
    </row>
    <row r="8" customFormat="false" ht="14.25" hidden="false" customHeight="true" outlineLevel="0" collapsed="false">
      <c r="A8" s="131" t="n">
        <v>2</v>
      </c>
      <c r="B8" s="132" t="s">
        <v>59</v>
      </c>
      <c r="C8" s="132" t="s">
        <v>68</v>
      </c>
      <c r="D8" s="132" t="s">
        <v>105</v>
      </c>
      <c r="E8" s="133" t="s">
        <v>207</v>
      </c>
      <c r="F8" s="132" t="s">
        <v>210</v>
      </c>
      <c r="G8" s="131"/>
      <c r="I8" s="11" t="s">
        <v>51</v>
      </c>
      <c r="J8" s="10" t="n">
        <f aca="false">COUNTIFS($C$3:$C$62,I8,$E$3:$E$62,"DNF")</f>
        <v>0</v>
      </c>
      <c r="K8" s="10" t="n">
        <f aca="false">COUNTIFS($C$3:$C$62,I8,$E$3:$E$62,"DNS")</f>
        <v>0</v>
      </c>
      <c r="L8" s="138" t="n">
        <f aca="false">J8+K8</f>
        <v>0</v>
      </c>
    </row>
    <row r="9" customFormat="false" ht="14.25" hidden="false" customHeight="true" outlineLevel="0" collapsed="false">
      <c r="A9" s="134" t="n">
        <v>2</v>
      </c>
      <c r="B9" s="135" t="s">
        <v>59</v>
      </c>
      <c r="C9" s="135" t="s">
        <v>113</v>
      </c>
      <c r="D9" s="135" t="s">
        <v>112</v>
      </c>
      <c r="E9" s="136" t="s">
        <v>213</v>
      </c>
      <c r="F9" s="135" t="s">
        <v>217</v>
      </c>
      <c r="G9" s="134" t="s">
        <v>218</v>
      </c>
      <c r="I9" s="9" t="s">
        <v>54</v>
      </c>
      <c r="J9" s="8" t="n">
        <f aca="false">COUNTIFS($C$3:$C$62,I9,$E$3:$E$62,"DNF")</f>
        <v>1</v>
      </c>
      <c r="K9" s="8" t="n">
        <f aca="false">COUNTIFS($C$3:$C$62,I9,$E$3:$E$62,"DNS")</f>
        <v>0</v>
      </c>
      <c r="L9" s="137" t="n">
        <f aca="false">J9+K9</f>
        <v>1</v>
      </c>
    </row>
    <row r="10" customFormat="false" ht="14.25" hidden="false" customHeight="true" outlineLevel="0" collapsed="false">
      <c r="A10" s="134" t="n">
        <v>2</v>
      </c>
      <c r="B10" s="135" t="s">
        <v>59</v>
      </c>
      <c r="C10" s="135" t="s">
        <v>53</v>
      </c>
      <c r="D10" s="135" t="s">
        <v>107</v>
      </c>
      <c r="E10" s="136" t="s">
        <v>213</v>
      </c>
      <c r="F10" s="135" t="s">
        <v>219</v>
      </c>
      <c r="G10" s="134" t="s">
        <v>220</v>
      </c>
      <c r="I10" s="11" t="s">
        <v>52</v>
      </c>
      <c r="J10" s="10" t="n">
        <f aca="false">COUNTIFS($C$3:$C$62,I10,$E$3:$E$62,"DNF")</f>
        <v>0</v>
      </c>
      <c r="K10" s="10" t="n">
        <f aca="false">COUNTIFS($C$3:$C$62,I10,$E$3:$E$62,"DNS")</f>
        <v>1</v>
      </c>
      <c r="L10" s="138" t="n">
        <f aca="false">J10+K10</f>
        <v>1</v>
      </c>
    </row>
    <row r="11" customFormat="false" ht="14.25" hidden="false" customHeight="true" outlineLevel="0" collapsed="false">
      <c r="A11" s="134" t="n">
        <v>3</v>
      </c>
      <c r="B11" s="135" t="s">
        <v>66</v>
      </c>
      <c r="C11" s="135" t="s">
        <v>54</v>
      </c>
      <c r="D11" s="135" t="s">
        <v>104</v>
      </c>
      <c r="E11" s="136" t="s">
        <v>213</v>
      </c>
      <c r="F11" s="135" t="s">
        <v>221</v>
      </c>
      <c r="G11" s="134" t="n">
        <v>22</v>
      </c>
      <c r="I11" s="9" t="s">
        <v>57</v>
      </c>
      <c r="J11" s="8" t="n">
        <f aca="false">COUNTIFS($C$3:$C$62,I11,$E$3:$E$62,"DNF")</f>
        <v>0</v>
      </c>
      <c r="K11" s="8" t="n">
        <f aca="false">COUNTIFS($C$3:$C$62,I11,$E$3:$E$62,"DNS")</f>
        <v>0</v>
      </c>
      <c r="L11" s="137" t="n">
        <f aca="false">J11+K11</f>
        <v>0</v>
      </c>
    </row>
    <row r="12" customFormat="false" ht="14.25" hidden="false" customHeight="true" outlineLevel="0" collapsed="false">
      <c r="A12" s="134" t="n">
        <v>3</v>
      </c>
      <c r="B12" s="135" t="s">
        <v>66</v>
      </c>
      <c r="C12" s="135" t="s">
        <v>113</v>
      </c>
      <c r="D12" s="135" t="s">
        <v>112</v>
      </c>
      <c r="E12" s="136" t="s">
        <v>213</v>
      </c>
      <c r="F12" s="135" t="s">
        <v>222</v>
      </c>
      <c r="G12" s="134" t="n">
        <v>29</v>
      </c>
      <c r="I12" s="11" t="s">
        <v>53</v>
      </c>
      <c r="J12" s="10" t="n">
        <f aca="false">COUNTIFS($C$3:$C$62,I12,$E$3:$E$62,"DNF")</f>
        <v>1</v>
      </c>
      <c r="K12" s="10" t="n">
        <f aca="false">COUNTIFS($C$3:$C$62,I12,$E$3:$E$62,"DNS")</f>
        <v>0</v>
      </c>
      <c r="L12" s="138" t="n">
        <f aca="false">J12+K12</f>
        <v>1</v>
      </c>
    </row>
    <row r="13" customFormat="false" ht="14.25" hidden="false" customHeight="true" outlineLevel="0" collapsed="false">
      <c r="A13" s="25"/>
      <c r="B13" s="25"/>
      <c r="C13" s="25"/>
      <c r="D13" s="25"/>
      <c r="E13" s="25"/>
      <c r="F13" s="25"/>
      <c r="G13" s="25"/>
      <c r="I13" s="9" t="s">
        <v>61</v>
      </c>
      <c r="J13" s="8" t="n">
        <f aca="false">COUNTIFS($C$3:$C$62,I13,$E$3:$E$62,"DNF")</f>
        <v>0</v>
      </c>
      <c r="K13" s="8" t="n">
        <f aca="false">COUNTIFS($C$3:$C$62,I13,$E$3:$E$62,"DNS")</f>
        <v>0</v>
      </c>
      <c r="L13" s="137" t="n">
        <f aca="false">J13+K13</f>
        <v>0</v>
      </c>
    </row>
    <row r="14" customFormat="false" ht="14.25" hidden="false" customHeight="true" outlineLevel="0" collapsed="false">
      <c r="A14" s="23"/>
      <c r="B14" s="23"/>
      <c r="C14" s="23"/>
      <c r="D14" s="23"/>
      <c r="E14" s="23"/>
      <c r="F14" s="23"/>
      <c r="G14" s="23"/>
      <c r="I14" s="11" t="s">
        <v>62</v>
      </c>
      <c r="J14" s="10" t="n">
        <f aca="false">COUNTIFS($C$3:$C$62,I14,$E$3:$E$62,"DNF")</f>
        <v>0</v>
      </c>
      <c r="K14" s="10" t="n">
        <f aca="false">COUNTIFS($C$3:$C$62,I14,$E$3:$E$62,"DNS")</f>
        <v>0</v>
      </c>
      <c r="L14" s="138" t="n">
        <f aca="false">J14+K14</f>
        <v>0</v>
      </c>
    </row>
    <row r="15" customFormat="false" ht="14.25" hidden="false" customHeight="true" outlineLevel="0" collapsed="false">
      <c r="A15" s="25"/>
      <c r="B15" s="25"/>
      <c r="C15" s="25"/>
      <c r="D15" s="25"/>
      <c r="E15" s="25"/>
      <c r="F15" s="25"/>
      <c r="G15" s="25"/>
      <c r="I15" s="9" t="s">
        <v>55</v>
      </c>
      <c r="J15" s="8" t="n">
        <f aca="false">COUNTIFS($C$3:$C$62,I15,$E$3:$E$62,"DNF")</f>
        <v>0</v>
      </c>
      <c r="K15" s="8" t="n">
        <f aca="false">COUNTIFS($C$3:$C$62,I15,$E$3:$E$62,"DNS")</f>
        <v>0</v>
      </c>
      <c r="L15" s="137" t="n">
        <f aca="false">J15+K15</f>
        <v>0</v>
      </c>
    </row>
    <row r="16" customFormat="false" ht="14.25" hidden="false" customHeight="true" outlineLevel="0" collapsed="false">
      <c r="A16" s="23"/>
      <c r="B16" s="23"/>
      <c r="C16" s="23"/>
      <c r="D16" s="23"/>
      <c r="E16" s="23"/>
      <c r="F16" s="23"/>
      <c r="G16" s="23"/>
      <c r="I16" s="11" t="s">
        <v>68</v>
      </c>
      <c r="J16" s="10" t="n">
        <f aca="false">COUNTIFS($C$3:$C$62,I16,$E$3:$E$62,"DNF")</f>
        <v>0</v>
      </c>
      <c r="K16" s="10" t="n">
        <f aca="false">COUNTIFS($C$3:$C$62,I16,$E$3:$E$62,"DNS")</f>
        <v>2</v>
      </c>
      <c r="L16" s="138" t="n">
        <f aca="false">J16+K16</f>
        <v>2</v>
      </c>
    </row>
    <row r="17" customFormat="false" ht="14.25" hidden="false" customHeight="true" outlineLevel="0" collapsed="false">
      <c r="A17" s="25"/>
      <c r="B17" s="25"/>
      <c r="C17" s="25"/>
      <c r="D17" s="25"/>
      <c r="E17" s="25"/>
      <c r="F17" s="25"/>
      <c r="G17" s="25"/>
      <c r="I17" s="9" t="s">
        <v>63</v>
      </c>
      <c r="J17" s="8" t="n">
        <f aca="false">COUNTIFS($C$3:$C$62,I17,$E$3:$E$62,"DNF")</f>
        <v>0</v>
      </c>
      <c r="K17" s="8" t="n">
        <f aca="false">COUNTIFS($C$3:$C$62,I17,$E$3:$E$62,"DNS")</f>
        <v>0</v>
      </c>
      <c r="L17" s="137" t="n">
        <f aca="false">J17+K17</f>
        <v>0</v>
      </c>
    </row>
    <row r="18" customFormat="false" ht="14.25" hidden="false" customHeight="true" outlineLevel="0" collapsed="false">
      <c r="A18" s="23"/>
      <c r="B18" s="23"/>
      <c r="C18" s="23"/>
      <c r="D18" s="23"/>
      <c r="E18" s="23"/>
      <c r="F18" s="23"/>
      <c r="G18" s="23"/>
      <c r="I18" s="11" t="s">
        <v>56</v>
      </c>
      <c r="J18" s="10" t="n">
        <f aca="false">COUNTIFS($C$3:$C$62,I18,$E$3:$E$62,"DNF")</f>
        <v>0</v>
      </c>
      <c r="K18" s="10" t="n">
        <f aca="false">COUNTIFS($C$3:$C$62,I18,$E$3:$E$62,"DNS")</f>
        <v>1</v>
      </c>
      <c r="L18" s="138" t="n">
        <f aca="false">J18+K18</f>
        <v>1</v>
      </c>
    </row>
    <row r="19" customFormat="false" ht="14.25" hidden="false" customHeight="true" outlineLevel="0" collapsed="false">
      <c r="A19" s="25"/>
      <c r="B19" s="25"/>
      <c r="C19" s="25"/>
      <c r="D19" s="25"/>
      <c r="E19" s="25"/>
      <c r="F19" s="25"/>
      <c r="G19" s="25"/>
      <c r="I19" s="9" t="s">
        <v>64</v>
      </c>
      <c r="J19" s="8" t="n">
        <f aca="false">COUNTIFS($C$3:$C$62,I19,$E$3:$E$62,"DNF")</f>
        <v>0</v>
      </c>
      <c r="K19" s="8" t="n">
        <f aca="false">COUNTIFS($C$3:$C$62,I19,$E$3:$E$62,"DNS")</f>
        <v>0</v>
      </c>
      <c r="L19" s="137" t="n">
        <f aca="false">J19+K19</f>
        <v>0</v>
      </c>
    </row>
    <row r="20" customFormat="false" ht="14.25" hidden="false" customHeight="true" outlineLevel="0" collapsed="false">
      <c r="A20" s="23"/>
      <c r="B20" s="23"/>
      <c r="C20" s="23"/>
      <c r="D20" s="23"/>
      <c r="E20" s="23"/>
      <c r="F20" s="23"/>
      <c r="G20" s="23"/>
      <c r="I20" s="11" t="s">
        <v>111</v>
      </c>
      <c r="J20" s="10" t="n">
        <f aca="false">COUNTIFS($C$3:$C$62,I20,$E$3:$E$62,"DNF")</f>
        <v>1</v>
      </c>
      <c r="K20" s="10" t="n">
        <f aca="false">COUNTIFS($C$3:$C$62,I20,$E$3:$E$62,"DNS")</f>
        <v>0</v>
      </c>
      <c r="L20" s="138" t="n">
        <f aca="false">J20+K20</f>
        <v>1</v>
      </c>
    </row>
    <row r="21" customFormat="false" ht="14.25" hidden="false" customHeight="true" outlineLevel="0" collapsed="false">
      <c r="A21" s="25"/>
      <c r="B21" s="25"/>
      <c r="C21" s="25"/>
      <c r="D21" s="25"/>
      <c r="E21" s="25"/>
      <c r="F21" s="25"/>
      <c r="G21" s="25"/>
      <c r="I21" s="9" t="s">
        <v>113</v>
      </c>
      <c r="J21" s="8" t="n">
        <f aca="false">COUNTIFS($C$3:$C$62,I21,$E$3:$E$62,"DNF")</f>
        <v>2</v>
      </c>
      <c r="K21" s="8" t="n">
        <f aca="false">COUNTIFS($C$3:$C$62,I21,$E$3:$E$62,"DNS")</f>
        <v>0</v>
      </c>
      <c r="L21" s="137" t="n">
        <f aca="false">J21+K21</f>
        <v>2</v>
      </c>
    </row>
    <row r="22" customFormat="false" ht="14.25" hidden="false" customHeight="true" outlineLevel="0" collapsed="false">
      <c r="A22" s="23"/>
      <c r="B22" s="23"/>
      <c r="C22" s="23"/>
      <c r="D22" s="23"/>
      <c r="E22" s="23"/>
      <c r="F22" s="23"/>
      <c r="G22" s="23"/>
      <c r="I22" s="11" t="s">
        <v>114</v>
      </c>
      <c r="J22" s="10" t="n">
        <f aca="false">COUNTIFS($C$3:$C$62,I22,$E$3:$E$62,"DNF")</f>
        <v>0</v>
      </c>
      <c r="K22" s="10" t="n">
        <f aca="false">COUNTIFS($C$3:$C$62,I22,$E$3:$E$62,"DNS")</f>
        <v>1</v>
      </c>
      <c r="L22" s="138" t="n">
        <f aca="false">J22+K22</f>
        <v>1</v>
      </c>
    </row>
    <row r="23" customFormat="false" ht="14.25" hidden="false" customHeight="true" outlineLevel="0" collapsed="false">
      <c r="A23" s="25"/>
      <c r="B23" s="25"/>
      <c r="C23" s="25"/>
      <c r="D23" s="25"/>
      <c r="E23" s="25"/>
      <c r="F23" s="25"/>
      <c r="G23" s="25"/>
      <c r="I23" s="9" t="s">
        <v>69</v>
      </c>
      <c r="J23" s="8" t="n">
        <f aca="false">COUNTIFS($C$3:$C$62,I23,$E$3:$E$62,"DNF")</f>
        <v>0</v>
      </c>
      <c r="K23" s="8" t="n">
        <f aca="false">COUNTIFS($C$3:$C$62,I23,$E$3:$E$62,"DNS")</f>
        <v>0</v>
      </c>
      <c r="L23" s="137" t="n">
        <f aca="false">J23+K23</f>
        <v>0</v>
      </c>
    </row>
    <row r="24" customFormat="false" ht="14.25" hidden="false" customHeight="true" outlineLevel="0" collapsed="false">
      <c r="A24" s="23"/>
      <c r="B24" s="23"/>
      <c r="C24" s="23"/>
      <c r="D24" s="23"/>
      <c r="E24" s="23"/>
      <c r="F24" s="23"/>
      <c r="G24" s="23"/>
      <c r="I24" s="11" t="s">
        <v>115</v>
      </c>
      <c r="J24" s="10" t="n">
        <f aca="false">COUNTIFS($C$3:$C$62,I24,$E$3:$E$62,"DNF")</f>
        <v>0</v>
      </c>
      <c r="K24" s="10" t="n">
        <f aca="false">COUNTIFS($C$3:$C$62,I24,$E$3:$E$62,"DNS")</f>
        <v>0</v>
      </c>
      <c r="L24" s="138" t="n">
        <f aca="false">J24+K24</f>
        <v>0</v>
      </c>
    </row>
    <row r="25" customFormat="false" ht="14.25" hidden="false" customHeight="true" outlineLevel="0" collapsed="false">
      <c r="A25" s="25"/>
      <c r="B25" s="25"/>
      <c r="C25" s="25"/>
      <c r="D25" s="25"/>
      <c r="E25" s="25"/>
      <c r="F25" s="25"/>
      <c r="G25" s="25"/>
      <c r="I25" s="9" t="s">
        <v>116</v>
      </c>
      <c r="J25" s="8" t="n">
        <f aca="false">COUNTIFS($C$3:$C$62,I25,$E$3:$E$62,"DNF")</f>
        <v>0</v>
      </c>
      <c r="K25" s="8" t="n">
        <f aca="false">COUNTIFS($C$3:$C$62,I25,$E$3:$E$62,"DNS")</f>
        <v>0</v>
      </c>
      <c r="L25" s="137" t="n">
        <f aca="false">J25+K25</f>
        <v>0</v>
      </c>
    </row>
    <row r="26" customFormat="false" ht="14.25" hidden="false" customHeight="true" outlineLevel="0" collapsed="false">
      <c r="A26" s="23"/>
      <c r="B26" s="23"/>
      <c r="C26" s="23"/>
      <c r="D26" s="23"/>
      <c r="E26" s="23"/>
      <c r="F26" s="23"/>
      <c r="G26" s="23"/>
      <c r="I26" s="11" t="s">
        <v>118</v>
      </c>
      <c r="J26" s="10" t="n">
        <f aca="false">COUNTIFS($C$3:$C$62,I26,$E$3:$E$62,"DNF")</f>
        <v>0</v>
      </c>
      <c r="K26" s="10" t="n">
        <f aca="false">COUNTIFS($C$3:$C$62,I26,$E$3:$E$62,"DNS")</f>
        <v>0</v>
      </c>
      <c r="L26" s="138" t="n">
        <f aca="false">J26+K26</f>
        <v>0</v>
      </c>
    </row>
    <row r="27" customFormat="false" ht="14.25" hidden="false" customHeight="true" outlineLevel="0" collapsed="false">
      <c r="A27" s="25"/>
      <c r="B27" s="25"/>
      <c r="C27" s="25"/>
      <c r="D27" s="25"/>
      <c r="E27" s="25"/>
      <c r="F27" s="25"/>
      <c r="G27" s="25"/>
    </row>
    <row r="28" customFormat="false" ht="14.25" hidden="false" customHeight="true" outlineLevel="0" collapsed="false">
      <c r="A28" s="23"/>
      <c r="B28" s="23"/>
      <c r="C28" s="23"/>
      <c r="D28" s="23"/>
      <c r="E28" s="23"/>
      <c r="F28" s="23"/>
      <c r="G28" s="23"/>
    </row>
    <row r="29" customFormat="false" ht="14.25" hidden="false" customHeight="true" outlineLevel="0" collapsed="false">
      <c r="A29" s="25"/>
      <c r="B29" s="25"/>
      <c r="C29" s="25"/>
      <c r="D29" s="25"/>
      <c r="E29" s="25"/>
      <c r="F29" s="25"/>
      <c r="G29" s="25"/>
    </row>
    <row r="30" customFormat="false" ht="14.25" hidden="false" customHeight="true" outlineLevel="0" collapsed="false">
      <c r="A30" s="23"/>
      <c r="B30" s="23"/>
      <c r="C30" s="23"/>
      <c r="D30" s="23"/>
      <c r="E30" s="23"/>
      <c r="F30" s="23"/>
      <c r="G30" s="23"/>
    </row>
    <row r="31" customFormat="false" ht="14.25" hidden="false" customHeight="true" outlineLevel="0" collapsed="false">
      <c r="A31" s="25"/>
      <c r="B31" s="25"/>
      <c r="C31" s="25"/>
      <c r="D31" s="25"/>
      <c r="E31" s="25"/>
      <c r="F31" s="25"/>
      <c r="G31" s="25"/>
    </row>
    <row r="32" customFormat="false" ht="14.25" hidden="false" customHeight="true" outlineLevel="0" collapsed="false">
      <c r="A32" s="23"/>
      <c r="B32" s="23"/>
      <c r="C32" s="23"/>
      <c r="D32" s="23"/>
      <c r="E32" s="23"/>
      <c r="F32" s="23"/>
      <c r="G32" s="23"/>
    </row>
    <row r="33" customFormat="false" ht="14.25" hidden="false" customHeight="true" outlineLevel="0" collapsed="false">
      <c r="A33" s="25"/>
      <c r="B33" s="25"/>
      <c r="C33" s="25"/>
      <c r="D33" s="25"/>
      <c r="E33" s="25"/>
      <c r="F33" s="25"/>
      <c r="G33" s="25"/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23"/>
      <c r="G34" s="23"/>
    </row>
    <row r="35" customFormat="false" ht="14.25" hidden="false" customHeight="true" outlineLevel="0" collapsed="false">
      <c r="A35" s="25"/>
      <c r="B35" s="25"/>
      <c r="C35" s="25"/>
      <c r="D35" s="25"/>
      <c r="E35" s="25"/>
      <c r="F35" s="25"/>
      <c r="G35" s="25"/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23"/>
      <c r="G36" s="23"/>
    </row>
    <row r="37" customFormat="false" ht="14.25" hidden="false" customHeight="true" outlineLevel="0" collapsed="false">
      <c r="A37" s="25"/>
      <c r="B37" s="25"/>
      <c r="C37" s="25"/>
      <c r="D37" s="25"/>
      <c r="E37" s="25"/>
      <c r="F37" s="25"/>
      <c r="G37" s="25"/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23"/>
      <c r="G38" s="23"/>
    </row>
    <row r="39" customFormat="false" ht="14.25" hidden="false" customHeight="true" outlineLevel="0" collapsed="false">
      <c r="A39" s="25"/>
      <c r="B39" s="25"/>
      <c r="C39" s="25"/>
      <c r="D39" s="25"/>
      <c r="E39" s="25"/>
      <c r="F39" s="25"/>
      <c r="G39" s="25"/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23"/>
      <c r="G40" s="23"/>
    </row>
    <row r="41" customFormat="false" ht="14.25" hidden="false" customHeight="true" outlineLevel="0" collapsed="false">
      <c r="A41" s="25"/>
      <c r="B41" s="25"/>
      <c r="C41" s="25"/>
      <c r="D41" s="25"/>
      <c r="E41" s="25"/>
      <c r="F41" s="25"/>
      <c r="G41" s="25"/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23"/>
      <c r="G42" s="23"/>
    </row>
    <row r="43" customFormat="false" ht="14.25" hidden="false" customHeight="true" outlineLevel="0" collapsed="false">
      <c r="A43" s="25"/>
      <c r="B43" s="25"/>
      <c r="C43" s="25"/>
      <c r="D43" s="25"/>
      <c r="E43" s="25"/>
      <c r="F43" s="25"/>
      <c r="G43" s="25"/>
    </row>
    <row r="44" customFormat="false" ht="14.25" hidden="false" customHeight="true" outlineLevel="0" collapsed="false">
      <c r="A44" s="23"/>
      <c r="B44" s="23"/>
      <c r="C44" s="23"/>
      <c r="D44" s="23"/>
      <c r="E44" s="23"/>
      <c r="F44" s="23"/>
      <c r="G44" s="23"/>
    </row>
    <row r="45" customFormat="false" ht="14.25" hidden="false" customHeight="true" outlineLevel="0" collapsed="false">
      <c r="A45" s="25"/>
      <c r="B45" s="25"/>
      <c r="C45" s="25"/>
      <c r="D45" s="25"/>
      <c r="E45" s="25"/>
      <c r="F45" s="25"/>
      <c r="G45" s="25"/>
    </row>
    <row r="46" customFormat="false" ht="14.25" hidden="false" customHeight="true" outlineLevel="0" collapsed="false">
      <c r="A46" s="23"/>
      <c r="B46" s="23"/>
      <c r="C46" s="23"/>
      <c r="D46" s="23"/>
      <c r="E46" s="23"/>
      <c r="F46" s="23"/>
      <c r="G46" s="23"/>
    </row>
    <row r="47" customFormat="false" ht="14.25" hidden="false" customHeight="true" outlineLevel="0" collapsed="false">
      <c r="A47" s="25"/>
      <c r="B47" s="25"/>
      <c r="C47" s="25"/>
      <c r="D47" s="25"/>
      <c r="E47" s="25"/>
      <c r="F47" s="25"/>
      <c r="G47" s="25"/>
    </row>
    <row r="48" customFormat="false" ht="14.25" hidden="false" customHeight="true" outlineLevel="0" collapsed="false">
      <c r="A48" s="23"/>
      <c r="B48" s="23"/>
      <c r="C48" s="23"/>
      <c r="D48" s="23"/>
      <c r="E48" s="23"/>
      <c r="F48" s="23"/>
      <c r="G48" s="23"/>
    </row>
    <row r="49" customFormat="false" ht="14.25" hidden="false" customHeight="true" outlineLevel="0" collapsed="false">
      <c r="A49" s="25"/>
      <c r="B49" s="25"/>
      <c r="C49" s="25"/>
      <c r="D49" s="25"/>
      <c r="E49" s="25"/>
      <c r="F49" s="25"/>
      <c r="G49" s="25"/>
    </row>
    <row r="50" customFormat="false" ht="14.25" hidden="false" customHeight="true" outlineLevel="0" collapsed="false">
      <c r="A50" s="23"/>
      <c r="B50" s="23"/>
      <c r="C50" s="23"/>
      <c r="D50" s="23"/>
      <c r="E50" s="23"/>
      <c r="F50" s="23"/>
      <c r="G50" s="23"/>
    </row>
    <row r="51" customFormat="false" ht="14.25" hidden="false" customHeight="true" outlineLevel="0" collapsed="false">
      <c r="A51" s="25"/>
      <c r="B51" s="25"/>
      <c r="C51" s="25"/>
      <c r="D51" s="25"/>
      <c r="E51" s="25"/>
      <c r="F51" s="25"/>
      <c r="G51" s="25"/>
    </row>
    <row r="52" customFormat="false" ht="14.25" hidden="false" customHeight="true" outlineLevel="0" collapsed="false">
      <c r="A52" s="23"/>
      <c r="B52" s="23"/>
      <c r="C52" s="23"/>
      <c r="D52" s="23"/>
      <c r="E52" s="23"/>
      <c r="F52" s="23"/>
      <c r="G52" s="23"/>
    </row>
    <row r="53" customFormat="false" ht="14.25" hidden="false" customHeight="true" outlineLevel="0" collapsed="false">
      <c r="A53" s="25"/>
      <c r="B53" s="25"/>
      <c r="C53" s="25"/>
      <c r="D53" s="25"/>
      <c r="E53" s="25"/>
      <c r="F53" s="25"/>
      <c r="G53" s="25"/>
    </row>
    <row r="54" customFormat="false" ht="14.25" hidden="false" customHeight="true" outlineLevel="0" collapsed="false">
      <c r="A54" s="23"/>
      <c r="B54" s="23"/>
      <c r="C54" s="23"/>
      <c r="D54" s="23"/>
      <c r="E54" s="23"/>
      <c r="F54" s="23"/>
      <c r="G54" s="23"/>
    </row>
    <row r="55" customFormat="false" ht="14.25" hidden="false" customHeight="true" outlineLevel="0" collapsed="false">
      <c r="A55" s="25"/>
      <c r="B55" s="25"/>
      <c r="C55" s="25"/>
      <c r="D55" s="25"/>
      <c r="E55" s="25"/>
      <c r="F55" s="25"/>
      <c r="G55" s="25"/>
    </row>
    <row r="56" customFormat="false" ht="14.25" hidden="false" customHeight="true" outlineLevel="0" collapsed="false">
      <c r="A56" s="23"/>
      <c r="B56" s="23"/>
      <c r="C56" s="23"/>
      <c r="D56" s="23"/>
      <c r="E56" s="23"/>
      <c r="F56" s="23"/>
      <c r="G56" s="23"/>
    </row>
    <row r="57" customFormat="false" ht="14.25" hidden="false" customHeight="true" outlineLevel="0" collapsed="false">
      <c r="A57" s="25"/>
      <c r="B57" s="25"/>
      <c r="C57" s="25"/>
      <c r="D57" s="25"/>
      <c r="E57" s="25"/>
      <c r="F57" s="25"/>
      <c r="G57" s="25"/>
    </row>
    <row r="58" customFormat="false" ht="14.25" hidden="false" customHeight="true" outlineLevel="0" collapsed="false">
      <c r="A58" s="23"/>
      <c r="B58" s="23"/>
      <c r="C58" s="23"/>
      <c r="D58" s="23"/>
      <c r="E58" s="23"/>
      <c r="F58" s="23"/>
      <c r="G58" s="23"/>
    </row>
    <row r="59" customFormat="false" ht="14.25" hidden="false" customHeight="true" outlineLevel="0" collapsed="false">
      <c r="A59" s="25"/>
      <c r="B59" s="25"/>
      <c r="C59" s="25"/>
      <c r="D59" s="25"/>
      <c r="E59" s="25"/>
      <c r="F59" s="25"/>
      <c r="G59" s="25"/>
    </row>
    <row r="60" customFormat="false" ht="14.25" hidden="false" customHeight="true" outlineLevel="0" collapsed="false">
      <c r="A60" s="23"/>
      <c r="B60" s="23"/>
      <c r="C60" s="23"/>
      <c r="D60" s="23"/>
      <c r="E60" s="23"/>
      <c r="F60" s="23"/>
      <c r="G60" s="23"/>
    </row>
    <row r="61" customFormat="false" ht="14.25" hidden="false" customHeight="true" outlineLevel="0" collapsed="false">
      <c r="A61" s="25"/>
      <c r="B61" s="25"/>
      <c r="C61" s="25"/>
      <c r="D61" s="25"/>
      <c r="E61" s="25"/>
      <c r="F61" s="25"/>
      <c r="G61" s="25"/>
    </row>
    <row r="62" customFormat="false" ht="14.25" hidden="false" customHeight="true" outlineLevel="0" collapsed="false">
      <c r="A62" s="23"/>
      <c r="B62" s="23"/>
      <c r="C62" s="23"/>
      <c r="D62" s="23"/>
      <c r="E62" s="23"/>
      <c r="F62" s="23"/>
      <c r="G62" s="23"/>
    </row>
  </sheetData>
  <sheetProtection sheet="true" password="c755"/>
  <mergeCells count="2">
    <mergeCell ref="A1:J1"/>
    <mergeCell ref="I3:L3"/>
  </mergeCells>
  <conditionalFormatting sqref="L5:L26">
    <cfRule type="cellIs" priority="2" operator="greaterThanOrEqual" aboveAverage="0" equalAverage="0" bottom="0" percent="0" rank="0" text="" dxfId="31">
      <formula>2</formula>
    </cfRule>
  </conditionalFormatting>
  <dataValidations count="1">
    <dataValidation allowBlank="false" errorStyle="stop" operator="between" showDropDown="false" showErrorMessage="false" showInputMessage="false" sqref="E3:E10" type="list">
      <formula1>"DNF,DNS,DSQ,NC"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"/>
    <col collapsed="false" customWidth="true" hidden="false" outlineLevel="0" max="3" min="3" style="1" width="30"/>
    <col collapsed="false" customWidth="true" hidden="false" outlineLevel="0" max="4" min="4" style="1" width="32"/>
    <col collapsed="false" customWidth="true" hidden="false" outlineLevel="0" max="5" min="5" style="1" width="2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7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30" hidden="false" customHeight="true" outlineLevel="0" collapsed="false">
      <c r="A1" s="6" t="s">
        <v>223</v>
      </c>
      <c r="B1" s="6" t="s">
        <v>224</v>
      </c>
      <c r="C1" s="6" t="s">
        <v>20</v>
      </c>
      <c r="D1" s="6" t="s">
        <v>32</v>
      </c>
      <c r="E1" s="6" t="s">
        <v>225</v>
      </c>
      <c r="F1" s="6" t="s">
        <v>226</v>
      </c>
      <c r="G1" s="6" t="s">
        <v>227</v>
      </c>
      <c r="H1" s="6" t="s">
        <v>43</v>
      </c>
      <c r="I1" s="6" t="s">
        <v>228</v>
      </c>
      <c r="J1" s="6" t="s">
        <v>229</v>
      </c>
    </row>
    <row r="2" customFormat="false" ht="14.25" hidden="false" customHeight="true" outlineLevel="0" collapsed="false">
      <c r="A2" s="8" t="n">
        <v>1</v>
      </c>
      <c r="B2" s="8" t="s">
        <v>230</v>
      </c>
      <c r="C2" s="9" t="s">
        <v>46</v>
      </c>
      <c r="D2" s="9" t="s">
        <v>231</v>
      </c>
      <c r="E2" s="9" t="s">
        <v>232</v>
      </c>
      <c r="F2" s="9" t="s">
        <v>47</v>
      </c>
      <c r="G2" s="8" t="s">
        <v>233</v>
      </c>
      <c r="H2" s="8" t="n">
        <v>58</v>
      </c>
      <c r="I2" s="8" t="n">
        <v>5.278</v>
      </c>
      <c r="J2" s="18" t="s">
        <v>234</v>
      </c>
    </row>
    <row r="3" customFormat="false" ht="14.25" hidden="false" customHeight="true" outlineLevel="0" collapsed="false">
      <c r="A3" s="10" t="n">
        <v>2</v>
      </c>
      <c r="B3" s="10" t="s">
        <v>235</v>
      </c>
      <c r="C3" s="11" t="s">
        <v>59</v>
      </c>
      <c r="D3" s="11" t="s">
        <v>236</v>
      </c>
      <c r="E3" s="11" t="s">
        <v>237</v>
      </c>
      <c r="F3" s="11" t="s">
        <v>60</v>
      </c>
      <c r="G3" s="10" t="s">
        <v>238</v>
      </c>
      <c r="H3" s="10" t="n">
        <v>56</v>
      </c>
      <c r="I3" s="10" t="n">
        <v>5.451</v>
      </c>
      <c r="J3" s="20" t="s">
        <v>234</v>
      </c>
    </row>
    <row r="4" customFormat="false" ht="14.25" hidden="false" customHeight="true" outlineLevel="0" collapsed="false">
      <c r="A4" s="8" t="n">
        <v>3</v>
      </c>
      <c r="B4" s="8" t="s">
        <v>239</v>
      </c>
      <c r="C4" s="9" t="s">
        <v>66</v>
      </c>
      <c r="D4" s="9" t="s">
        <v>240</v>
      </c>
      <c r="E4" s="9" t="s">
        <v>241</v>
      </c>
      <c r="F4" s="9" t="s">
        <v>67</v>
      </c>
      <c r="G4" s="8" t="s">
        <v>242</v>
      </c>
      <c r="H4" s="8" t="n">
        <v>53</v>
      </c>
      <c r="I4" s="8" t="n">
        <v>5.807</v>
      </c>
      <c r="J4" s="18" t="s">
        <v>234</v>
      </c>
    </row>
    <row r="5" customFormat="false" ht="14.25" hidden="false" customHeight="true" outlineLevel="0" collapsed="false">
      <c r="A5" s="139" t="n">
        <v>4</v>
      </c>
      <c r="B5" s="139" t="s">
        <v>243</v>
      </c>
      <c r="C5" s="140" t="s">
        <v>244</v>
      </c>
      <c r="D5" s="140" t="s">
        <v>245</v>
      </c>
      <c r="E5" s="140" t="s">
        <v>246</v>
      </c>
      <c r="F5" s="140" t="s">
        <v>247</v>
      </c>
      <c r="G5" s="139" t="s">
        <v>248</v>
      </c>
      <c r="H5" s="139" t="n">
        <v>57</v>
      </c>
      <c r="I5" s="139" t="n">
        <v>5.412</v>
      </c>
      <c r="J5" s="141" t="s">
        <v>249</v>
      </c>
    </row>
    <row r="6" customFormat="false" ht="14.25" hidden="false" customHeight="true" outlineLevel="0" collapsed="false">
      <c r="A6" s="139" t="n">
        <v>5</v>
      </c>
      <c r="B6" s="139" t="s">
        <v>250</v>
      </c>
      <c r="C6" s="140" t="s">
        <v>251</v>
      </c>
      <c r="D6" s="140" t="s">
        <v>252</v>
      </c>
      <c r="E6" s="140" t="s">
        <v>253</v>
      </c>
      <c r="F6" s="140" t="s">
        <v>254</v>
      </c>
      <c r="G6" s="139" t="s">
        <v>248</v>
      </c>
      <c r="H6" s="139" t="n">
        <v>50</v>
      </c>
      <c r="I6" s="139" t="n">
        <v>6.174</v>
      </c>
      <c r="J6" s="141" t="s">
        <v>249</v>
      </c>
    </row>
    <row r="7" customFormat="false" ht="14.25" hidden="false" customHeight="true" outlineLevel="0" collapsed="false">
      <c r="A7" s="10" t="n">
        <v>6</v>
      </c>
      <c r="B7" s="10" t="s">
        <v>255</v>
      </c>
      <c r="C7" s="11" t="s">
        <v>83</v>
      </c>
      <c r="D7" s="11" t="s">
        <v>256</v>
      </c>
      <c r="E7" s="11" t="s">
        <v>257</v>
      </c>
      <c r="F7" s="11" t="s">
        <v>258</v>
      </c>
      <c r="G7" s="10" t="s">
        <v>259</v>
      </c>
      <c r="H7" s="10" t="n">
        <v>57</v>
      </c>
      <c r="I7" s="10" t="n">
        <v>5.412</v>
      </c>
      <c r="J7" s="20" t="s">
        <v>260</v>
      </c>
    </row>
    <row r="8" customFormat="false" ht="14.25" hidden="false" customHeight="true" outlineLevel="0" collapsed="false">
      <c r="A8" s="8" t="n">
        <v>7</v>
      </c>
      <c r="B8" s="8" t="s">
        <v>261</v>
      </c>
      <c r="C8" s="9" t="s">
        <v>84</v>
      </c>
      <c r="D8" s="9" t="s">
        <v>262</v>
      </c>
      <c r="E8" s="9" t="s">
        <v>263</v>
      </c>
      <c r="F8" s="9" t="s">
        <v>264</v>
      </c>
      <c r="G8" s="8" t="s">
        <v>259</v>
      </c>
      <c r="H8" s="8" t="n">
        <v>70</v>
      </c>
      <c r="I8" s="8" t="n">
        <v>4.361</v>
      </c>
      <c r="J8" s="18" t="s">
        <v>260</v>
      </c>
    </row>
    <row r="9" customFormat="false" ht="14.25" hidden="false" customHeight="true" outlineLevel="0" collapsed="false">
      <c r="A9" s="10" t="n">
        <v>8</v>
      </c>
      <c r="B9" s="10" t="s">
        <v>265</v>
      </c>
      <c r="C9" s="11" t="s">
        <v>266</v>
      </c>
      <c r="D9" s="11" t="s">
        <v>267</v>
      </c>
      <c r="E9" s="11" t="s">
        <v>268</v>
      </c>
      <c r="F9" s="11" t="s">
        <v>269</v>
      </c>
      <c r="G9" s="10" t="s">
        <v>270</v>
      </c>
      <c r="H9" s="10" t="n">
        <v>78</v>
      </c>
      <c r="I9" s="10" t="n">
        <v>3.337</v>
      </c>
      <c r="J9" s="20" t="s">
        <v>260</v>
      </c>
    </row>
    <row r="10" customFormat="false" ht="14.25" hidden="false" customHeight="true" outlineLevel="0" collapsed="false">
      <c r="A10" s="8" t="n">
        <v>9</v>
      </c>
      <c r="B10" s="8" t="s">
        <v>271</v>
      </c>
      <c r="C10" s="9" t="s">
        <v>272</v>
      </c>
      <c r="D10" s="9" t="s">
        <v>273</v>
      </c>
      <c r="E10" s="9" t="s">
        <v>274</v>
      </c>
      <c r="F10" s="9" t="s">
        <v>275</v>
      </c>
      <c r="G10" s="8" t="s">
        <v>270</v>
      </c>
      <c r="H10" s="8" t="n">
        <v>65</v>
      </c>
      <c r="I10" s="8" t="n">
        <v>4.92</v>
      </c>
      <c r="J10" s="18" t="s">
        <v>260</v>
      </c>
    </row>
    <row r="11" customFormat="false" ht="14.25" hidden="false" customHeight="true" outlineLevel="0" collapsed="false">
      <c r="A11" s="10" t="n">
        <v>10</v>
      </c>
      <c r="B11" s="10" t="s">
        <v>271</v>
      </c>
      <c r="C11" s="11" t="s">
        <v>276</v>
      </c>
      <c r="D11" s="11" t="s">
        <v>277</v>
      </c>
      <c r="E11" s="11" t="s">
        <v>278</v>
      </c>
      <c r="F11" s="11" t="s">
        <v>279</v>
      </c>
      <c r="G11" s="10" t="s">
        <v>270</v>
      </c>
      <c r="H11" s="10" t="n">
        <v>66</v>
      </c>
      <c r="I11" s="10" t="n">
        <v>4.657</v>
      </c>
      <c r="J11" s="20" t="s">
        <v>260</v>
      </c>
    </row>
    <row r="12" customFormat="false" ht="14.25" hidden="false" customHeight="true" outlineLevel="0" collapsed="false">
      <c r="A12" s="8" t="n">
        <v>11</v>
      </c>
      <c r="B12" s="8" t="s">
        <v>280</v>
      </c>
      <c r="C12" s="9" t="s">
        <v>281</v>
      </c>
      <c r="D12" s="9" t="s">
        <v>282</v>
      </c>
      <c r="E12" s="9" t="s">
        <v>283</v>
      </c>
      <c r="F12" s="9" t="s">
        <v>284</v>
      </c>
      <c r="G12" s="8" t="s">
        <v>270</v>
      </c>
      <c r="H12" s="8" t="n">
        <v>71</v>
      </c>
      <c r="I12" s="8" t="n">
        <v>4.318</v>
      </c>
      <c r="J12" s="18" t="s">
        <v>260</v>
      </c>
    </row>
    <row r="13" customFormat="false" ht="14.25" hidden="false" customHeight="true" outlineLevel="0" collapsed="false">
      <c r="A13" s="10" t="n">
        <v>12</v>
      </c>
      <c r="B13" s="10" t="s">
        <v>285</v>
      </c>
      <c r="C13" s="11" t="s">
        <v>85</v>
      </c>
      <c r="D13" s="11" t="s">
        <v>286</v>
      </c>
      <c r="E13" s="11" t="s">
        <v>287</v>
      </c>
      <c r="F13" s="11" t="s">
        <v>288</v>
      </c>
      <c r="G13" s="10" t="s">
        <v>289</v>
      </c>
      <c r="H13" s="10" t="n">
        <v>52</v>
      </c>
      <c r="I13" s="10" t="n">
        <v>5.891</v>
      </c>
      <c r="J13" s="20" t="s">
        <v>260</v>
      </c>
    </row>
    <row r="14" customFormat="false" ht="14.25" hidden="false" customHeight="true" outlineLevel="0" collapsed="false">
      <c r="A14" s="8" t="n">
        <v>13</v>
      </c>
      <c r="B14" s="8" t="s">
        <v>290</v>
      </c>
      <c r="C14" s="9" t="s">
        <v>291</v>
      </c>
      <c r="D14" s="9" t="s">
        <v>292</v>
      </c>
      <c r="E14" s="9" t="s">
        <v>293</v>
      </c>
      <c r="F14" s="9" t="s">
        <v>294</v>
      </c>
      <c r="G14" s="8" t="s">
        <v>270</v>
      </c>
      <c r="H14" s="8" t="n">
        <v>44</v>
      </c>
      <c r="I14" s="8" t="n">
        <v>7.004</v>
      </c>
      <c r="J14" s="18" t="s">
        <v>260</v>
      </c>
    </row>
    <row r="15" customFormat="false" ht="14.25" hidden="false" customHeight="true" outlineLevel="0" collapsed="false">
      <c r="A15" s="10" t="n">
        <v>14</v>
      </c>
      <c r="B15" s="10" t="s">
        <v>295</v>
      </c>
      <c r="C15" s="11" t="s">
        <v>296</v>
      </c>
      <c r="D15" s="11" t="s">
        <v>297</v>
      </c>
      <c r="E15" s="11" t="s">
        <v>298</v>
      </c>
      <c r="F15" s="11" t="s">
        <v>299</v>
      </c>
      <c r="G15" s="10" t="s">
        <v>270</v>
      </c>
      <c r="H15" s="10" t="n">
        <v>70</v>
      </c>
      <c r="I15" s="10" t="n">
        <v>4.381</v>
      </c>
      <c r="J15" s="20" t="s">
        <v>260</v>
      </c>
    </row>
    <row r="16" customFormat="false" ht="14.25" hidden="false" customHeight="true" outlineLevel="0" collapsed="false">
      <c r="A16" s="8" t="n">
        <v>15</v>
      </c>
      <c r="B16" s="8" t="s">
        <v>300</v>
      </c>
      <c r="C16" s="9" t="s">
        <v>86</v>
      </c>
      <c r="D16" s="9" t="s">
        <v>301</v>
      </c>
      <c r="E16" s="9" t="s">
        <v>302</v>
      </c>
      <c r="F16" s="9" t="s">
        <v>303</v>
      </c>
      <c r="G16" s="8" t="s">
        <v>270</v>
      </c>
      <c r="H16" s="8" t="n">
        <v>72</v>
      </c>
      <c r="I16" s="8" t="n">
        <v>4.259</v>
      </c>
      <c r="J16" s="18" t="s">
        <v>260</v>
      </c>
    </row>
    <row r="17" customFormat="false" ht="14.25" hidden="false" customHeight="true" outlineLevel="0" collapsed="false">
      <c r="A17" s="10" t="n">
        <v>16</v>
      </c>
      <c r="B17" s="10" t="s">
        <v>304</v>
      </c>
      <c r="C17" s="11" t="s">
        <v>305</v>
      </c>
      <c r="D17" s="11" t="s">
        <v>306</v>
      </c>
      <c r="E17" s="11" t="s">
        <v>307</v>
      </c>
      <c r="F17" s="11" t="s">
        <v>308</v>
      </c>
      <c r="G17" s="10" t="s">
        <v>270</v>
      </c>
      <c r="H17" s="10" t="n">
        <v>53</v>
      </c>
      <c r="I17" s="10" t="n">
        <v>5.793</v>
      </c>
      <c r="J17" s="20" t="s">
        <v>260</v>
      </c>
    </row>
    <row r="18" customFormat="false" ht="14.25" hidden="false" customHeight="true" outlineLevel="0" collapsed="false">
      <c r="A18" s="8" t="n">
        <v>17</v>
      </c>
      <c r="B18" s="8" t="s">
        <v>309</v>
      </c>
      <c r="C18" s="9" t="s">
        <v>310</v>
      </c>
      <c r="D18" s="9" t="s">
        <v>311</v>
      </c>
      <c r="E18" s="9" t="s">
        <v>312</v>
      </c>
      <c r="F18" s="9" t="s">
        <v>313</v>
      </c>
      <c r="G18" s="8" t="s">
        <v>314</v>
      </c>
      <c r="H18" s="8" t="n">
        <v>51</v>
      </c>
      <c r="I18" s="8" t="n">
        <v>6.003</v>
      </c>
      <c r="J18" s="18" t="s">
        <v>260</v>
      </c>
    </row>
    <row r="19" customFormat="false" ht="14.25" hidden="false" customHeight="true" outlineLevel="0" collapsed="false">
      <c r="A19" s="10" t="n">
        <v>18</v>
      </c>
      <c r="B19" s="10" t="s">
        <v>315</v>
      </c>
      <c r="C19" s="11" t="s">
        <v>87</v>
      </c>
      <c r="D19" s="11" t="s">
        <v>316</v>
      </c>
      <c r="E19" s="11" t="s">
        <v>317</v>
      </c>
      <c r="F19" s="11" t="s">
        <v>318</v>
      </c>
      <c r="G19" s="10" t="s">
        <v>319</v>
      </c>
      <c r="H19" s="10" t="n">
        <v>62</v>
      </c>
      <c r="I19" s="10" t="n">
        <v>5.063</v>
      </c>
      <c r="J19" s="20" t="s">
        <v>260</v>
      </c>
    </row>
    <row r="20" customFormat="false" ht="14.25" hidden="false" customHeight="true" outlineLevel="0" collapsed="false">
      <c r="A20" s="8" t="n">
        <v>19</v>
      </c>
      <c r="B20" s="8" t="s">
        <v>255</v>
      </c>
      <c r="C20" s="9" t="s">
        <v>320</v>
      </c>
      <c r="D20" s="9" t="s">
        <v>321</v>
      </c>
      <c r="E20" s="9" t="s">
        <v>322</v>
      </c>
      <c r="F20" s="9" t="s">
        <v>323</v>
      </c>
      <c r="G20" s="8" t="s">
        <v>324</v>
      </c>
      <c r="H20" s="8" t="n">
        <v>56</v>
      </c>
      <c r="I20" s="8" t="n">
        <v>5.513</v>
      </c>
      <c r="J20" s="18" t="s">
        <v>260</v>
      </c>
    </row>
    <row r="21" customFormat="false" ht="14.25" hidden="false" customHeight="true" outlineLevel="0" collapsed="false">
      <c r="A21" s="10" t="n">
        <v>20</v>
      </c>
      <c r="B21" s="10" t="s">
        <v>325</v>
      </c>
      <c r="C21" s="11" t="s">
        <v>326</v>
      </c>
      <c r="D21" s="11" t="s">
        <v>327</v>
      </c>
      <c r="E21" s="11" t="s">
        <v>328</v>
      </c>
      <c r="F21" s="11" t="s">
        <v>329</v>
      </c>
      <c r="G21" s="10" t="s">
        <v>330</v>
      </c>
      <c r="H21" s="10" t="n">
        <v>71</v>
      </c>
      <c r="I21" s="10" t="n">
        <v>4.304</v>
      </c>
      <c r="J21" s="20" t="s">
        <v>260</v>
      </c>
    </row>
    <row r="22" customFormat="false" ht="14.25" hidden="false" customHeight="true" outlineLevel="0" collapsed="false">
      <c r="A22" s="8" t="n">
        <v>21</v>
      </c>
      <c r="B22" s="8" t="s">
        <v>331</v>
      </c>
      <c r="C22" s="9" t="s">
        <v>332</v>
      </c>
      <c r="D22" s="9" t="s">
        <v>333</v>
      </c>
      <c r="E22" s="9" t="s">
        <v>334</v>
      </c>
      <c r="F22" s="9" t="s">
        <v>335</v>
      </c>
      <c r="G22" s="8" t="s">
        <v>336</v>
      </c>
      <c r="H22" s="8" t="n">
        <v>71</v>
      </c>
      <c r="I22" s="8" t="n">
        <v>4.309</v>
      </c>
      <c r="J22" s="18" t="s">
        <v>260</v>
      </c>
    </row>
    <row r="23" customFormat="false" ht="14.25" hidden="false" customHeight="true" outlineLevel="0" collapsed="false">
      <c r="A23" s="10" t="n">
        <v>22</v>
      </c>
      <c r="B23" s="10" t="s">
        <v>255</v>
      </c>
      <c r="C23" s="11" t="s">
        <v>337</v>
      </c>
      <c r="D23" s="11" t="s">
        <v>338</v>
      </c>
      <c r="E23" s="11" t="s">
        <v>339</v>
      </c>
      <c r="F23" s="11" t="s">
        <v>340</v>
      </c>
      <c r="G23" s="10" t="s">
        <v>341</v>
      </c>
      <c r="H23" s="10" t="n">
        <v>50</v>
      </c>
      <c r="I23" s="10" t="n">
        <v>6.201</v>
      </c>
      <c r="J23" s="20" t="s">
        <v>260</v>
      </c>
    </row>
    <row r="24" customFormat="false" ht="14.25" hidden="false" customHeight="true" outlineLevel="0" collapsed="false">
      <c r="A24" s="8" t="n">
        <v>23</v>
      </c>
      <c r="B24" s="8" t="s">
        <v>342</v>
      </c>
      <c r="C24" s="9" t="s">
        <v>343</v>
      </c>
      <c r="D24" s="9" t="s">
        <v>344</v>
      </c>
      <c r="E24" s="9" t="s">
        <v>345</v>
      </c>
      <c r="F24" s="9" t="s">
        <v>346</v>
      </c>
      <c r="G24" s="8" t="s">
        <v>248</v>
      </c>
      <c r="H24" s="8" t="n">
        <v>57</v>
      </c>
      <c r="I24" s="8" t="n">
        <v>5.419</v>
      </c>
      <c r="J24" s="18" t="s">
        <v>260</v>
      </c>
    </row>
    <row r="25" customFormat="false" ht="14.25" hidden="false" customHeight="true" outlineLevel="0" collapsed="false">
      <c r="A25" s="10" t="n">
        <v>24</v>
      </c>
      <c r="B25" s="10" t="s">
        <v>347</v>
      </c>
      <c r="C25" s="11" t="s">
        <v>348</v>
      </c>
      <c r="D25" s="11" t="s">
        <v>349</v>
      </c>
      <c r="E25" s="11" t="s">
        <v>350</v>
      </c>
      <c r="F25" s="11" t="s">
        <v>351</v>
      </c>
      <c r="G25" s="10" t="s">
        <v>352</v>
      </c>
      <c r="H25" s="10" t="n">
        <v>58</v>
      </c>
      <c r="I25" s="10" t="n">
        <v>5.281</v>
      </c>
      <c r="J25" s="20" t="s">
        <v>260</v>
      </c>
    </row>
    <row r="26" customFormat="false" ht="14.25" hidden="false" customHeight="true" outlineLevel="0" collapsed="false">
      <c r="A26" s="142" t="s">
        <v>353</v>
      </c>
      <c r="B26" s="142"/>
      <c r="C26" s="142" t="str">
        <f aca="false">COUNTIF(J2:J25,"Completed")&amp;" / 22 Races Completed"</f>
        <v>3 / 22 Races Completed</v>
      </c>
      <c r="D26" s="142"/>
      <c r="E26" s="142"/>
      <c r="F26" s="142"/>
      <c r="G26" s="142"/>
      <c r="H26" s="142"/>
      <c r="I26" s="142"/>
      <c r="J26" s="142"/>
    </row>
  </sheetData>
  <sheetProtection sheet="true" password="c755"/>
  <conditionalFormatting sqref="J2:J25">
    <cfRule type="cellIs" priority="2" operator="equal" aboveAverage="0" equalAverage="0" bottom="0" percent="0" rank="0" text="" dxfId="30">
      <formula>"Completed"</formula>
    </cfRule>
    <cfRule type="cellIs" priority="3" operator="equal" aboveAverage="0" equalAverage="0" bottom="0" percent="0" rank="0" text="" dxfId="34">
      <formula>"Upcoming"</formula>
    </cfRule>
    <cfRule type="cellIs" priority="4" operator="equal" aboveAverage="0" equalAverage="0" bottom="0" percent="0" rank="0" text="" dxfId="33">
      <formula>"Cancelled"</formula>
    </cfRule>
  </conditionalFormatting>
  <dataValidations count="1">
    <dataValidation allowBlank="false" errorStyle="stop" operator="between" showDropDown="false" showErrorMessage="false" showInputMessage="false" sqref="J2:J25" type="list">
      <formula1>"Upcoming,Completed,Cancelled,Sprint Weekend"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12" min="2" style="1" width="20"/>
    <col collapsed="false" customWidth="true" hidden="false" outlineLevel="0" max="13" min="13" style="1" width="2"/>
    <col collapsed="false" customWidth="true" hidden="false" outlineLevel="0" max="15" min="15" style="1" width="22"/>
    <col collapsed="false" customWidth="true" hidden="false" outlineLevel="0" max="16" min="16" style="1" width="18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0" min="20" style="1" width="10"/>
  </cols>
  <sheetData>
    <row r="1" customFormat="false" ht="39.75" hidden="false" customHeight="true" outlineLevel="0" collapsed="false">
      <c r="A1" s="143" t="s">
        <v>354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</row>
    <row r="2" customFormat="false" ht="14.25" hidden="false" customHeight="true" outlineLevel="0" collapsed="false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</row>
    <row r="3" customFormat="false" ht="21.75" hidden="false" customHeight="true" outlineLevel="0" collapsed="false">
      <c r="A3" s="144" t="s">
        <v>355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356</v>
      </c>
      <c r="B5" s="7" t="s">
        <v>357</v>
      </c>
      <c r="C5" s="7" t="s">
        <v>26</v>
      </c>
      <c r="D5" s="7" t="s">
        <v>27</v>
      </c>
      <c r="E5" s="7" t="s">
        <v>35</v>
      </c>
      <c r="F5" s="7" t="s">
        <v>36</v>
      </c>
      <c r="G5" s="7" t="s">
        <v>37</v>
      </c>
      <c r="H5" s="7" t="s">
        <v>38</v>
      </c>
      <c r="I5" s="7" t="s">
        <v>39</v>
      </c>
      <c r="J5" s="7" t="s">
        <v>40</v>
      </c>
      <c r="K5" s="7" t="s">
        <v>41</v>
      </c>
      <c r="L5" s="7" t="s">
        <v>29</v>
      </c>
      <c r="O5" s="6" t="s">
        <v>99</v>
      </c>
      <c r="P5" s="6" t="s">
        <v>25</v>
      </c>
      <c r="Q5" s="6" t="s">
        <v>358</v>
      </c>
      <c r="R5" s="6" t="s">
        <v>359</v>
      </c>
      <c r="S5" s="6" t="s">
        <v>360</v>
      </c>
      <c r="T5" s="6" t="s">
        <v>361</v>
      </c>
    </row>
    <row r="6" customFormat="false" ht="14.25" hidden="false" customHeight="true" outlineLevel="0" collapsed="false">
      <c r="A6" s="107" t="s">
        <v>46</v>
      </c>
      <c r="B6" s="145" t="str">
        <f aca="false">'Race Results'!$E$2</f>
        <v>George Russell</v>
      </c>
      <c r="C6" s="145" t="str">
        <f aca="false">'Race Results'!$G$2</f>
        <v>Andrea Kimi Antonelli</v>
      </c>
      <c r="D6" s="145" t="str">
        <f aca="false">'Race Results'!$H$2</f>
        <v>Charles Leclerc</v>
      </c>
      <c r="E6" s="145" t="str">
        <f aca="false">'Race Results'!$I$2</f>
        <v>Lewis Hamilton</v>
      </c>
      <c r="F6" s="145" t="str">
        <f aca="false">'Race Results'!$J$2</f>
        <v>Lando Norris</v>
      </c>
      <c r="G6" s="145" t="str">
        <f aca="false">'Race Results'!$K$2</f>
        <v>Max Verstappen</v>
      </c>
      <c r="H6" s="145" t="str">
        <f aca="false">'Race Results'!$L$2</f>
        <v>Oliver Bearman</v>
      </c>
      <c r="I6" s="145" t="str">
        <f aca="false">'Race Results'!$M$2</f>
        <v>Arvid Lindblad</v>
      </c>
      <c r="J6" s="145" t="str">
        <f aca="false">'Race Results'!$N$2</f>
        <v>Gabriel Bortoleto</v>
      </c>
      <c r="K6" s="145" t="str">
        <f aca="false">'Race Results'!$O$2</f>
        <v>Pierre Gasly</v>
      </c>
      <c r="L6" s="145" t="str">
        <f aca="false">'Race Results'!$Q$2</f>
        <v>George Russell</v>
      </c>
      <c r="O6" s="9" t="s">
        <v>48</v>
      </c>
      <c r="P6" s="9" t="str">
        <f aca="false">IFERROR(INDEX('Driver Bios'!$C$2:$C$23,MATCH(O6,'Driver Bios'!$B$2:$B$23,0)),"Mercedes")</f>
        <v>Mercedes</v>
      </c>
      <c r="Q6" s="8" t="n">
        <f aca="false">IFERROR(INDEX('Driver Standings'!$E$2:$E$23,MATCH(O6,'Driver Standings'!$B$2:$B$23,0)),0)</f>
        <v>63</v>
      </c>
      <c r="R6" s="8" t="n">
        <f aca="false">IFERROR(IF(B8=O6,25,0)+IF(C8=O6,18,0)+IF(D8=O6,15,0)+IF(E8=O6,12,0)+IF(F8=O6,10,0)+IF(G8=O6,8,0)+IF(H8=O6,6,0)+IF(I8=O6,4,0)+IF(J8=O6,2,0)+IF(K8=O6,1,0)+IF(AND(L8=O6,L8&lt;&gt;""),1,0)+IF(B9=O6,25,0)+IF(C9=O6,18,0)+IF(D9=O6,15,0)+IF(E9=O6,12,0)+IF(F9=O6,10,0)+IF(G9=O6,8,0)+IF(H9=O6,6,0)+IF(I9=O6,4,0)+IF(J9=O6,2,0)+IF(K9=O6,1,0)+IF(AND(L9=O6,L9&lt;&gt;""),1,0)+IF(B10=O6,25,0)+IF(C10=O6,18,0)+IF(D10=O6,15,0)+IF(E10=O6,12,0)+IF(F10=O6,10,0)+IF(G10=O6,8,0)+IF(H10=O6,6,0)+IF(I10=O6,4,0)+IF(J10=O6,2,0)+IF(K10=O6,1,0)+IF(AND(L10=O6,L10&lt;&gt;""),1,0)+IF(B11=O6,25,0)+IF(C11=O6,18,0)+IF(D11=O6,15,0)+IF(E11=O6,12,0)+IF(F11=O6,10,0)+IF(G11=O6,8,0)+IF(H11=O6,6,0)+IF(I11=O6,4,0)+IF(J11=O6,2,0)+IF(K11=O6,1,0)+IF(AND(L11=O6,L11&lt;&gt;""),1,0)+IF(B12=O6,25,0)+IF(C12=O6,18,0)+IF(D12=O6,15,0)+IF(E12=O6,12,0)+IF(F12=O6,10,0)+IF(G12=O6,8,0)+IF(H12=O6,6,0)+IF(I12=O6,4,0)+IF(J12=O6,2,0)+IF(K12=O6,1,0)+IF(AND(L12=O6,L12&lt;&gt;""),1,0)+IF(B13=O6,25,0)+IF(C13=O6,18,0)+IF(D13=O6,15,0)+IF(E13=O6,12,0)+IF(F13=O6,10,0)+IF(G13=O6,8,0)+IF(H13=O6,6,0)+IF(I13=O6,4,0)+IF(J13=O6,2,0)+IF(K13=O6,1,0)+IF(AND(L13=O6,L13&lt;&gt;""),1,0)+IF(B14=O6,25,0)+IF(C14=O6,18,0)+IF(D14=O6,15,0)+IF(E14=O6,12,0)+IF(F14=O6,10,0)+IF(G14=O6,8,0)+IF(H14=O6,6,0)+IF(I14=O6,4,0)+IF(J14=O6,2,0)+IF(K14=O6,1,0)+IF(AND(L14=O6,L14&lt;&gt;""),1,0)+IF(B15=O6,25,0)+IF(C15=O6,18,0)+IF(D15=O6,15,0)+IF(E15=O6,12,0)+IF(F15=O6,10,0)+IF(G15=O6,8,0)+IF(H15=O6,6,0)+IF(I15=O6,4,0)+IF(J15=O6,2,0)+IF(K15=O6,1,0)+IF(AND(L15=O6,L15&lt;&gt;""),1,0)+IF(B16=O6,25,0)+IF(C16=O6,18,0)+IF(D16=O6,15,0)+IF(E16=O6,12,0)+IF(F16=O6,10,0)+IF(G16=O6,8,0)+IF(H16=O6,6,0)+IF(I16=O6,4,0)+IF(J16=O6,2,0)+IF(K16=O6,1,0)+IF(AND(L16=O6,L16&lt;&gt;""),1,0)+IF(B17=O6,25,0)+IF(C17=O6,18,0)+IF(D17=O6,15,0)+IF(E17=O6,12,0)+IF(F17=O6,10,0)+IF(G17=O6,8,0)+IF(H17=O6,6,0)+IF(I17=O6,4,0)+IF(J17=O6,2,0)+IF(K17=O6,1,0)+IF(AND(L17=O6,L17&lt;&gt;""),1,0)+IF(B18=O6,25,0)+IF(C18=O6,18,0)+IF(D18=O6,15,0)+IF(E18=O6,12,0)+IF(F18=O6,10,0)+IF(G18=O6,8,0)+IF(H18=O6,6,0)+IF(I18=O6,4,0)+IF(J18=O6,2,0)+IF(K18=O6,1,0)+IF(AND(L18=O6,L18&lt;&gt;""),1,0)+IF(B19=O6,25,0)+IF(C19=O6,18,0)+IF(D19=O6,15,0)+IF(E19=O6,12,0)+IF(F19=O6,10,0)+IF(G19=O6,8,0)+IF(H19=O6,6,0)+IF(I19=O6,4,0)+IF(J19=O6,2,0)+IF(K19=O6,1,0)+IF(AND(L19=O6,L19&lt;&gt;""),1,0)+IF(B20=O6,25,0)+IF(C20=O6,18,0)+IF(D20=O6,15,0)+IF(E20=O6,12,0)+IF(F20=O6,10,0)+IF(G20=O6,8,0)+IF(H20=O6,6,0)+IF(I20=O6,4,0)+IF(J20=O6,2,0)+IF(K20=O6,1,0)+IF(AND(L20=O6,L20&lt;&gt;""),1,0)+IF(B21=O6,25,0)+IF(C21=O6,18,0)+IF(D21=O6,15,0)+IF(E21=O6,12,0)+IF(F21=O6,10,0)+IF(G21=O6,8,0)+IF(H21=O6,6,0)+IF(I21=O6,4,0)+IF(J21=O6,2,0)+IF(K21=O6,1,0)+IF(AND(L21=O6,L21&lt;&gt;""),1,0)+IF(B22=O6,25,0)+IF(C22=O6,18,0)+IF(D22=O6,15,0)+IF(E22=O6,12,0)+IF(F22=O6,10,0)+IF(G22=O6,8,0)+IF(H22=O6,6,0)+IF(I22=O6,4,0)+IF(J22=O6,2,0)+IF(K22=O6,1,0)+IF(AND(L22=O6,L22&lt;&gt;""),1,0)+IF(B23=O6,25,0)+IF(C23=O6,18,0)+IF(D23=O6,15,0)+IF(E23=O6,12,0)+IF(F23=O6,10,0)+IF(G23=O6,8,0)+IF(H23=O6,6,0)+IF(I23=O6,4,0)+IF(J23=O6,2,0)+IF(K23=O6,1,0)+IF(AND(L23=O6,L23&lt;&gt;""),1,0)+IF(B24=O6,25,0)+IF(C24=O6,18,0)+IF(D24=O6,15,0)+IF(E24=O6,12,0)+IF(F24=O6,10,0)+IF(G24=O6,8,0)+IF(H24=O6,6,0)+IF(I24=O6,4,0)+IF(J24=O6,2,0)+IF(K24=O6,1,0)+IF(AND(L24=O6,L24&lt;&gt;""),1,0)+IF(B25=O6,25,0)+IF(C25=O6,18,0)+IF(D25=O6,15,0)+IF(E25=O6,12,0)+IF(F25=O6,10,0)+IF(G25=O6,8,0)+IF(H25=O6,6,0)+IF(I25=O6,4,0)+IF(J25=O6,2,0)+IF(K25=O6,1,0)+IF(AND(L25=O6,L25&lt;&gt;""),1,0)+IF(B26=O6,25,0)+IF(C26=O6,18,0)+IF(D26=O6,15,0)+IF(E26=O6,12,0)+IF(F26=O6,10,0)+IF(G26=O6,8,0)+IF(H26=O6,6,0)+IF(I26=O6,4,0)+IF(J26=O6,2,0)+IF(K26=O6,1,0)+IF(AND(L26=O6,L26&lt;&gt;""),1,0)+IF(B27=O6,25,0)+IF(C27=O6,18,0)+IF(D27=O6,15,0)+IF(E27=O6,12,0)+IF(F27=O6,10,0)+IF(G27=O6,8,0)+IF(H27=O6,6,0)+IF(I27=O6,4,0)+IF(J27=O6,2,0)+IF(K27=O6,1,0)+IF(AND(L27=O6,L27&lt;&gt;""),1,0)+IF(B28=O6,25,0)+IF(C28=O6,18,0)+IF(D28=O6,15,0)+IF(E28=O6,12,0)+IF(F28=O6,10,0)+IF(G28=O6,8,0)+IF(H28=O6,6,0)+IF(I28=O6,4,0)+IF(J28=O6,2,0)+IF(K28=O6,1,0)+IF(AND(L28=O6,L28&lt;&gt;""),1,0)+IF(B29=O6,25,0)+IF(C29=O6,18,0)+IF(D29=O6,15,0)+IF(E29=O6,12,0)+IF(F29=O6,10,0)+IF(G29=O6,8,0)+IF(H29=O6,6,0)+IF(I29=O6,4,0)+IF(J29=O6,2,0)+IF(K29=O6,1,0)+IF(AND(L29=O6,L29&lt;&gt;""),1,0),0)</f>
        <v>12</v>
      </c>
      <c r="S6" s="146" t="n">
        <f aca="false">Q6+R6</f>
        <v>75</v>
      </c>
      <c r="T6" s="8" t="n">
        <f aca="false">RANK(S6,S$6:S$27,0)</f>
        <v>2</v>
      </c>
    </row>
    <row r="7" customFormat="false" ht="14.25" hidden="false" customHeight="true" outlineLevel="0" collapsed="false">
      <c r="A7" s="107" t="s">
        <v>59</v>
      </c>
      <c r="B7" s="145" t="str">
        <f aca="false">'Race Results'!$E$3</f>
        <v>Andrea Kimi Antonelli</v>
      </c>
      <c r="C7" s="145" t="str">
        <f aca="false">'Race Results'!$G$3</f>
        <v>George Russell</v>
      </c>
      <c r="D7" s="145" t="str">
        <f aca="false">'Race Results'!$H$3</f>
        <v>Lewis Hamilton</v>
      </c>
      <c r="E7" s="145" t="str">
        <f aca="false">'Race Results'!$I$3</f>
        <v>Charles Leclerc</v>
      </c>
      <c r="F7" s="145" t="str">
        <f aca="false">'Race Results'!$J$3</f>
        <v>Oliver Bearman</v>
      </c>
      <c r="G7" s="145" t="str">
        <f aca="false">'Race Results'!$K$3</f>
        <v>Pierre Gasly</v>
      </c>
      <c r="H7" s="145" t="str">
        <f aca="false">'Race Results'!$L$3</f>
        <v>Liam Lawson</v>
      </c>
      <c r="I7" s="145" t="str">
        <f aca="false">'Race Results'!$M$3</f>
        <v>Isack Hadjar</v>
      </c>
      <c r="J7" s="145" t="str">
        <f aca="false">'Race Results'!$N$3</f>
        <v>Carlos Sainz</v>
      </c>
      <c r="K7" s="145" t="str">
        <f aca="false">'Race Results'!$O$3</f>
        <v>Franco Colapinto</v>
      </c>
      <c r="L7" s="145" t="str">
        <f aca="false">'Race Results'!$Q$3</f>
        <v>Andrea Kimi Antonelli</v>
      </c>
      <c r="O7" s="11" t="s">
        <v>49</v>
      </c>
      <c r="P7" s="11" t="str">
        <f aca="false">IFERROR(INDEX('Driver Bios'!$C$2:$C$23,MATCH(O7,'Driver Bios'!$B$2:$B$23,0)),"Mercedes")</f>
        <v>Mercedes</v>
      </c>
      <c r="Q7" s="10" t="n">
        <f aca="false">IFERROR(INDEX('Driver Standings'!$E$2:$E$23,MATCH(O7,'Driver Standings'!$B$2:$B$23,0)),0)</f>
        <v>72</v>
      </c>
      <c r="R7" s="10" t="n">
        <f aca="false">IFERROR(IF(B8=O7,25,0)+IF(C8=O7,18,0)+IF(D8=O7,15,0)+IF(E8=O7,12,0)+IF(F8=O7,10,0)+IF(G8=O7,8,0)+IF(H8=O7,6,0)+IF(I8=O7,4,0)+IF(J8=O7,2,0)+IF(K8=O7,1,0)+IF(AND(L8=O7,L8&lt;&gt;""),1,0)+IF(B9=O7,25,0)+IF(C9=O7,18,0)+IF(D9=O7,15,0)+IF(E9=O7,12,0)+IF(F9=O7,10,0)+IF(G9=O7,8,0)+IF(H9=O7,6,0)+IF(I9=O7,4,0)+IF(J9=O7,2,0)+IF(K9=O7,1,0)+IF(AND(L9=O7,L9&lt;&gt;""),1,0)+IF(B10=O7,25,0)+IF(C10=O7,18,0)+IF(D10=O7,15,0)+IF(E10=O7,12,0)+IF(F10=O7,10,0)+IF(G10=O7,8,0)+IF(H10=O7,6,0)+IF(I10=O7,4,0)+IF(J10=O7,2,0)+IF(K10=O7,1,0)+IF(AND(L10=O7,L10&lt;&gt;""),1,0)+IF(B11=O7,25,0)+IF(C11=O7,18,0)+IF(D11=O7,15,0)+IF(E11=O7,12,0)+IF(F11=O7,10,0)+IF(G11=O7,8,0)+IF(H11=O7,6,0)+IF(I11=O7,4,0)+IF(J11=O7,2,0)+IF(K11=O7,1,0)+IF(AND(L11=O7,L11&lt;&gt;""),1,0)+IF(B12=O7,25,0)+IF(C12=O7,18,0)+IF(D12=O7,15,0)+IF(E12=O7,12,0)+IF(F12=O7,10,0)+IF(G12=O7,8,0)+IF(H12=O7,6,0)+IF(I12=O7,4,0)+IF(J12=O7,2,0)+IF(K12=O7,1,0)+IF(AND(L12=O7,L12&lt;&gt;""),1,0)+IF(B13=O7,25,0)+IF(C13=O7,18,0)+IF(D13=O7,15,0)+IF(E13=O7,12,0)+IF(F13=O7,10,0)+IF(G13=O7,8,0)+IF(H13=O7,6,0)+IF(I13=O7,4,0)+IF(J13=O7,2,0)+IF(K13=O7,1,0)+IF(AND(L13=O7,L13&lt;&gt;""),1,0)+IF(B14=O7,25,0)+IF(C14=O7,18,0)+IF(D14=O7,15,0)+IF(E14=O7,12,0)+IF(F14=O7,10,0)+IF(G14=O7,8,0)+IF(H14=O7,6,0)+IF(I14=O7,4,0)+IF(J14=O7,2,0)+IF(K14=O7,1,0)+IF(AND(L14=O7,L14&lt;&gt;""),1,0)+IF(B15=O7,25,0)+IF(C15=O7,18,0)+IF(D15=O7,15,0)+IF(E15=O7,12,0)+IF(F15=O7,10,0)+IF(G15=O7,8,0)+IF(H15=O7,6,0)+IF(I15=O7,4,0)+IF(J15=O7,2,0)+IF(K15=O7,1,0)+IF(AND(L15=O7,L15&lt;&gt;""),1,0)+IF(B16=O7,25,0)+IF(C16=O7,18,0)+IF(D16=O7,15,0)+IF(E16=O7,12,0)+IF(F16=O7,10,0)+IF(G16=O7,8,0)+IF(H16=O7,6,0)+IF(I16=O7,4,0)+IF(J16=O7,2,0)+IF(K16=O7,1,0)+IF(AND(L16=O7,L16&lt;&gt;""),1,0)+IF(B17=O7,25,0)+IF(C17=O7,18,0)+IF(D17=O7,15,0)+IF(E17=O7,12,0)+IF(F17=O7,10,0)+IF(G17=O7,8,0)+IF(H17=O7,6,0)+IF(I17=O7,4,0)+IF(J17=O7,2,0)+IF(K17=O7,1,0)+IF(AND(L17=O7,L17&lt;&gt;""),1,0)+IF(B18=O7,25,0)+IF(C18=O7,18,0)+IF(D18=O7,15,0)+IF(E18=O7,12,0)+IF(F18=O7,10,0)+IF(G18=O7,8,0)+IF(H18=O7,6,0)+IF(I18=O7,4,0)+IF(J18=O7,2,0)+IF(K18=O7,1,0)+IF(AND(L18=O7,L18&lt;&gt;""),1,0)+IF(B19=O7,25,0)+IF(C19=O7,18,0)+IF(D19=O7,15,0)+IF(E19=O7,12,0)+IF(F19=O7,10,0)+IF(G19=O7,8,0)+IF(H19=O7,6,0)+IF(I19=O7,4,0)+IF(J19=O7,2,0)+IF(K19=O7,1,0)+IF(AND(L19=O7,L19&lt;&gt;""),1,0)+IF(B20=O7,25,0)+IF(C20=O7,18,0)+IF(D20=O7,15,0)+IF(E20=O7,12,0)+IF(F20=O7,10,0)+IF(G20=O7,8,0)+IF(H20=O7,6,0)+IF(I20=O7,4,0)+IF(J20=O7,2,0)+IF(K20=O7,1,0)+IF(AND(L20=O7,L20&lt;&gt;""),1,0)+IF(B21=O7,25,0)+IF(C21=O7,18,0)+IF(D21=O7,15,0)+IF(E21=O7,12,0)+IF(F21=O7,10,0)+IF(G21=O7,8,0)+IF(H21=O7,6,0)+IF(I21=O7,4,0)+IF(J21=O7,2,0)+IF(K21=O7,1,0)+IF(AND(L21=O7,L21&lt;&gt;""),1,0)+IF(B22=O7,25,0)+IF(C22=O7,18,0)+IF(D22=O7,15,0)+IF(E22=O7,12,0)+IF(F22=O7,10,0)+IF(G22=O7,8,0)+IF(H22=O7,6,0)+IF(I22=O7,4,0)+IF(J22=O7,2,0)+IF(K22=O7,1,0)+IF(AND(L22=O7,L22&lt;&gt;""),1,0)+IF(B23=O7,25,0)+IF(C23=O7,18,0)+IF(D23=O7,15,0)+IF(E23=O7,12,0)+IF(F23=O7,10,0)+IF(G23=O7,8,0)+IF(H23=O7,6,0)+IF(I23=O7,4,0)+IF(J23=O7,2,0)+IF(K23=O7,1,0)+IF(AND(L23=O7,L23&lt;&gt;""),1,0)+IF(B24=O7,25,0)+IF(C24=O7,18,0)+IF(D24=O7,15,0)+IF(E24=O7,12,0)+IF(F24=O7,10,0)+IF(G24=O7,8,0)+IF(H24=O7,6,0)+IF(I24=O7,4,0)+IF(J24=O7,2,0)+IF(K24=O7,1,0)+IF(AND(L24=O7,L24&lt;&gt;""),1,0)+IF(B25=O7,25,0)+IF(C25=O7,18,0)+IF(D25=O7,15,0)+IF(E25=O7,12,0)+IF(F25=O7,10,0)+IF(G25=O7,8,0)+IF(H25=O7,6,0)+IF(I25=O7,4,0)+IF(J25=O7,2,0)+IF(K25=O7,1,0)+IF(AND(L25=O7,L25&lt;&gt;""),1,0)+IF(B26=O7,25,0)+IF(C26=O7,18,0)+IF(D26=O7,15,0)+IF(E26=O7,12,0)+IF(F26=O7,10,0)+IF(G26=O7,8,0)+IF(H26=O7,6,0)+IF(I26=O7,4,0)+IF(J26=O7,2,0)+IF(K26=O7,1,0)+IF(AND(L26=O7,L26&lt;&gt;""),1,0)+IF(B27=O7,25,0)+IF(C27=O7,18,0)+IF(D27=O7,15,0)+IF(E27=O7,12,0)+IF(F27=O7,10,0)+IF(G27=O7,8,0)+IF(H27=O7,6,0)+IF(I27=O7,4,0)+IF(J27=O7,2,0)+IF(K27=O7,1,0)+IF(AND(L27=O7,L27&lt;&gt;""),1,0)+IF(B28=O7,25,0)+IF(C28=O7,18,0)+IF(D28=O7,15,0)+IF(E28=O7,12,0)+IF(F28=O7,10,0)+IF(G28=O7,8,0)+IF(H28=O7,6,0)+IF(I28=O7,4,0)+IF(J28=O7,2,0)+IF(K28=O7,1,0)+IF(AND(L28=O7,L28&lt;&gt;""),1,0)+IF(B29=O7,25,0)+IF(C29=O7,18,0)+IF(D29=O7,15,0)+IF(E29=O7,12,0)+IF(F29=O7,10,0)+IF(G29=O7,8,0)+IF(H29=O7,6,0)+IF(I29=O7,4,0)+IF(J29=O7,2,0)+IF(K29=O7,1,0)+IF(AND(L29=O7,L29&lt;&gt;""),1,0),0)</f>
        <v>26</v>
      </c>
      <c r="S7" s="147" t="n">
        <f aca="false">Q7+R7</f>
        <v>98</v>
      </c>
      <c r="T7" s="10" t="n">
        <f aca="false">RANK(S7,S$6:S$27,0)</f>
        <v>1</v>
      </c>
    </row>
    <row r="8" customFormat="false" ht="14.25" hidden="false" customHeight="true" outlineLevel="0" collapsed="false">
      <c r="A8" s="9" t="s">
        <v>66</v>
      </c>
      <c r="B8" s="148" t="s">
        <v>49</v>
      </c>
      <c r="C8" s="148" t="s">
        <v>68</v>
      </c>
      <c r="D8" s="148" t="s">
        <v>50</v>
      </c>
      <c r="E8" s="148" t="s">
        <v>48</v>
      </c>
      <c r="F8" s="148" t="s">
        <v>52</v>
      </c>
      <c r="G8" s="148" t="s">
        <v>51</v>
      </c>
      <c r="H8" s="148" t="s">
        <v>57</v>
      </c>
      <c r="I8" s="148" t="s">
        <v>53</v>
      </c>
      <c r="J8" s="148" t="s">
        <v>61</v>
      </c>
      <c r="K8" s="148" t="s">
        <v>69</v>
      </c>
      <c r="L8" s="148" t="s">
        <v>49</v>
      </c>
      <c r="O8" s="9" t="s">
        <v>50</v>
      </c>
      <c r="P8" s="9" t="str">
        <f aca="false">IFERROR(INDEX('Driver Bios'!$C$2:$C$23,MATCH(O8,'Driver Bios'!$B$2:$B$23,0)),"Ferrari")</f>
        <v>Ferrari</v>
      </c>
      <c r="Q8" s="8" t="n">
        <f aca="false">IFERROR(INDEX('Driver Standings'!$E$2:$E$23,MATCH(O8,'Driver Standings'!$B$2:$B$23,0)),0)</f>
        <v>49</v>
      </c>
      <c r="R8" s="8" t="n">
        <f aca="false">IFERROR(IF(B8=O8,25,0)+IF(C8=O8,18,0)+IF(D8=O8,15,0)+IF(E8=O8,12,0)+IF(F8=O8,10,0)+IF(G8=O8,8,0)+IF(H8=O8,6,0)+IF(I8=O8,4,0)+IF(J8=O8,2,0)+IF(K8=O8,1,0)+IF(AND(L8=O8,L8&lt;&gt;""),1,0)+IF(B9=O8,25,0)+IF(C9=O8,18,0)+IF(D9=O8,15,0)+IF(E9=O8,12,0)+IF(F9=O8,10,0)+IF(G9=O8,8,0)+IF(H9=O8,6,0)+IF(I9=O8,4,0)+IF(J9=O8,2,0)+IF(K9=O8,1,0)+IF(AND(L9=O8,L9&lt;&gt;""),1,0)+IF(B10=O8,25,0)+IF(C10=O8,18,0)+IF(D10=O8,15,0)+IF(E10=O8,12,0)+IF(F10=O8,10,0)+IF(G10=O8,8,0)+IF(H10=O8,6,0)+IF(I10=O8,4,0)+IF(J10=O8,2,0)+IF(K10=O8,1,0)+IF(AND(L10=O8,L10&lt;&gt;""),1,0)+IF(B11=O8,25,0)+IF(C11=O8,18,0)+IF(D11=O8,15,0)+IF(E11=O8,12,0)+IF(F11=O8,10,0)+IF(G11=O8,8,0)+IF(H11=O8,6,0)+IF(I11=O8,4,0)+IF(J11=O8,2,0)+IF(K11=O8,1,0)+IF(AND(L11=O8,L11&lt;&gt;""),1,0)+IF(B12=O8,25,0)+IF(C12=O8,18,0)+IF(D12=O8,15,0)+IF(E12=O8,12,0)+IF(F12=O8,10,0)+IF(G12=O8,8,0)+IF(H12=O8,6,0)+IF(I12=O8,4,0)+IF(J12=O8,2,0)+IF(K12=O8,1,0)+IF(AND(L12=O8,L12&lt;&gt;""),1,0)+IF(B13=O8,25,0)+IF(C13=O8,18,0)+IF(D13=O8,15,0)+IF(E13=O8,12,0)+IF(F13=O8,10,0)+IF(G13=O8,8,0)+IF(H13=O8,6,0)+IF(I13=O8,4,0)+IF(J13=O8,2,0)+IF(K13=O8,1,0)+IF(AND(L13=O8,L13&lt;&gt;""),1,0)+IF(B14=O8,25,0)+IF(C14=O8,18,0)+IF(D14=O8,15,0)+IF(E14=O8,12,0)+IF(F14=O8,10,0)+IF(G14=O8,8,0)+IF(H14=O8,6,0)+IF(I14=O8,4,0)+IF(J14=O8,2,0)+IF(K14=O8,1,0)+IF(AND(L14=O8,L14&lt;&gt;""),1,0)+IF(B15=O8,25,0)+IF(C15=O8,18,0)+IF(D15=O8,15,0)+IF(E15=O8,12,0)+IF(F15=O8,10,0)+IF(G15=O8,8,0)+IF(H15=O8,6,0)+IF(I15=O8,4,0)+IF(J15=O8,2,0)+IF(K15=O8,1,0)+IF(AND(L15=O8,L15&lt;&gt;""),1,0)+IF(B16=O8,25,0)+IF(C16=O8,18,0)+IF(D16=O8,15,0)+IF(E16=O8,12,0)+IF(F16=O8,10,0)+IF(G16=O8,8,0)+IF(H16=O8,6,0)+IF(I16=O8,4,0)+IF(J16=O8,2,0)+IF(K16=O8,1,0)+IF(AND(L16=O8,L16&lt;&gt;""),1,0)+IF(B17=O8,25,0)+IF(C17=O8,18,0)+IF(D17=O8,15,0)+IF(E17=O8,12,0)+IF(F17=O8,10,0)+IF(G17=O8,8,0)+IF(H17=O8,6,0)+IF(I17=O8,4,0)+IF(J17=O8,2,0)+IF(K17=O8,1,0)+IF(AND(L17=O8,L17&lt;&gt;""),1,0)+IF(B18=O8,25,0)+IF(C18=O8,18,0)+IF(D18=O8,15,0)+IF(E18=O8,12,0)+IF(F18=O8,10,0)+IF(G18=O8,8,0)+IF(H18=O8,6,0)+IF(I18=O8,4,0)+IF(J18=O8,2,0)+IF(K18=O8,1,0)+IF(AND(L18=O8,L18&lt;&gt;""),1,0)+IF(B19=O8,25,0)+IF(C19=O8,18,0)+IF(D19=O8,15,0)+IF(E19=O8,12,0)+IF(F19=O8,10,0)+IF(G19=O8,8,0)+IF(H19=O8,6,0)+IF(I19=O8,4,0)+IF(J19=O8,2,0)+IF(K19=O8,1,0)+IF(AND(L19=O8,L19&lt;&gt;""),1,0)+IF(B20=O8,25,0)+IF(C20=O8,18,0)+IF(D20=O8,15,0)+IF(E20=O8,12,0)+IF(F20=O8,10,0)+IF(G20=O8,8,0)+IF(H20=O8,6,0)+IF(I20=O8,4,0)+IF(J20=O8,2,0)+IF(K20=O8,1,0)+IF(AND(L20=O8,L20&lt;&gt;""),1,0)+IF(B21=O8,25,0)+IF(C21=O8,18,0)+IF(D21=O8,15,0)+IF(E21=O8,12,0)+IF(F21=O8,10,0)+IF(G21=O8,8,0)+IF(H21=O8,6,0)+IF(I21=O8,4,0)+IF(J21=O8,2,0)+IF(K21=O8,1,0)+IF(AND(L21=O8,L21&lt;&gt;""),1,0)+IF(B22=O8,25,0)+IF(C22=O8,18,0)+IF(D22=O8,15,0)+IF(E22=O8,12,0)+IF(F22=O8,10,0)+IF(G22=O8,8,0)+IF(H22=O8,6,0)+IF(I22=O8,4,0)+IF(J22=O8,2,0)+IF(K22=O8,1,0)+IF(AND(L22=O8,L22&lt;&gt;""),1,0)+IF(B23=O8,25,0)+IF(C23=O8,18,0)+IF(D23=O8,15,0)+IF(E23=O8,12,0)+IF(F23=O8,10,0)+IF(G23=O8,8,0)+IF(H23=O8,6,0)+IF(I23=O8,4,0)+IF(J23=O8,2,0)+IF(K23=O8,1,0)+IF(AND(L23=O8,L23&lt;&gt;""),1,0)+IF(B24=O8,25,0)+IF(C24=O8,18,0)+IF(D24=O8,15,0)+IF(E24=O8,12,0)+IF(F24=O8,10,0)+IF(G24=O8,8,0)+IF(H24=O8,6,0)+IF(I24=O8,4,0)+IF(J24=O8,2,0)+IF(K24=O8,1,0)+IF(AND(L24=O8,L24&lt;&gt;""),1,0)+IF(B25=O8,25,0)+IF(C25=O8,18,0)+IF(D25=O8,15,0)+IF(E25=O8,12,0)+IF(F25=O8,10,0)+IF(G25=O8,8,0)+IF(H25=O8,6,0)+IF(I25=O8,4,0)+IF(J25=O8,2,0)+IF(K25=O8,1,0)+IF(AND(L25=O8,L25&lt;&gt;""),1,0)+IF(B26=O8,25,0)+IF(C26=O8,18,0)+IF(D26=O8,15,0)+IF(E26=O8,12,0)+IF(F26=O8,10,0)+IF(G26=O8,8,0)+IF(H26=O8,6,0)+IF(I26=O8,4,0)+IF(J26=O8,2,0)+IF(K26=O8,1,0)+IF(AND(L26=O8,L26&lt;&gt;""),1,0)+IF(B27=O8,25,0)+IF(C27=O8,18,0)+IF(D27=O8,15,0)+IF(E27=O8,12,0)+IF(F27=O8,10,0)+IF(G27=O8,8,0)+IF(H27=O8,6,0)+IF(I27=O8,4,0)+IF(J27=O8,2,0)+IF(K27=O8,1,0)+IF(AND(L27=O8,L27&lt;&gt;""),1,0)+IF(B28=O8,25,0)+IF(C28=O8,18,0)+IF(D28=O8,15,0)+IF(E28=O8,12,0)+IF(F28=O8,10,0)+IF(G28=O8,8,0)+IF(H28=O8,6,0)+IF(I28=O8,4,0)+IF(J28=O8,2,0)+IF(K28=O8,1,0)+IF(AND(L28=O8,L28&lt;&gt;""),1,0)+IF(B29=O8,25,0)+IF(C29=O8,18,0)+IF(D29=O8,15,0)+IF(E29=O8,12,0)+IF(F29=O8,10,0)+IF(G29=O8,8,0)+IF(H29=O8,6,0)+IF(I29=O8,4,0)+IF(J29=O8,2,0)+IF(K29=O8,1,0)+IF(AND(L29=O8,L29&lt;&gt;""),1,0),0)</f>
        <v>15</v>
      </c>
      <c r="S8" s="146" t="n">
        <f aca="false">Q8+R8</f>
        <v>64</v>
      </c>
      <c r="T8" s="8" t="n">
        <f aca="false">RANK(S8,S$6:S$27,0)</f>
        <v>3</v>
      </c>
    </row>
    <row r="9" customFormat="false" ht="14.25" hidden="false" customHeight="true" outlineLevel="0" collapsed="false">
      <c r="A9" s="9" t="s">
        <v>362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O9" s="11" t="s">
        <v>51</v>
      </c>
      <c r="P9" s="11" t="str">
        <f aca="false">IFERROR(INDEX('Driver Bios'!$C$2:$C$23,MATCH(O9,'Driver Bios'!$B$2:$B$23,0)),"Ferrari")</f>
        <v>Ferrari</v>
      </c>
      <c r="Q9" s="10" t="n">
        <f aca="false">IFERROR(INDEX('Driver Standings'!$E$2:$E$23,MATCH(O9,'Driver Standings'!$B$2:$B$23,0)),0)</f>
        <v>41</v>
      </c>
      <c r="R9" s="10" t="n">
        <f aca="false">IFERROR(IF(B8=O9,25,0)+IF(C8=O9,18,0)+IF(D8=O9,15,0)+IF(E8=O9,12,0)+IF(F8=O9,10,0)+IF(G8=O9,8,0)+IF(H8=O9,6,0)+IF(I8=O9,4,0)+IF(J8=O9,2,0)+IF(K8=O9,1,0)+IF(AND(L8=O9,L8&lt;&gt;""),1,0)+IF(B9=O9,25,0)+IF(C9=O9,18,0)+IF(D9=O9,15,0)+IF(E9=O9,12,0)+IF(F9=O9,10,0)+IF(G9=O9,8,0)+IF(H9=O9,6,0)+IF(I9=O9,4,0)+IF(J9=O9,2,0)+IF(K9=O9,1,0)+IF(AND(L9=O9,L9&lt;&gt;""),1,0)+IF(B10=O9,25,0)+IF(C10=O9,18,0)+IF(D10=O9,15,0)+IF(E10=O9,12,0)+IF(F10=O9,10,0)+IF(G10=O9,8,0)+IF(H10=O9,6,0)+IF(I10=O9,4,0)+IF(J10=O9,2,0)+IF(K10=O9,1,0)+IF(AND(L10=O9,L10&lt;&gt;""),1,0)+IF(B11=O9,25,0)+IF(C11=O9,18,0)+IF(D11=O9,15,0)+IF(E11=O9,12,0)+IF(F11=O9,10,0)+IF(G11=O9,8,0)+IF(H11=O9,6,0)+IF(I11=O9,4,0)+IF(J11=O9,2,0)+IF(K11=O9,1,0)+IF(AND(L11=O9,L11&lt;&gt;""),1,0)+IF(B12=O9,25,0)+IF(C12=O9,18,0)+IF(D12=O9,15,0)+IF(E12=O9,12,0)+IF(F12=O9,10,0)+IF(G12=O9,8,0)+IF(H12=O9,6,0)+IF(I12=O9,4,0)+IF(J12=O9,2,0)+IF(K12=O9,1,0)+IF(AND(L12=O9,L12&lt;&gt;""),1,0)+IF(B13=O9,25,0)+IF(C13=O9,18,0)+IF(D13=O9,15,0)+IF(E13=O9,12,0)+IF(F13=O9,10,0)+IF(G13=O9,8,0)+IF(H13=O9,6,0)+IF(I13=O9,4,0)+IF(J13=O9,2,0)+IF(K13=O9,1,0)+IF(AND(L13=O9,L13&lt;&gt;""),1,0)+IF(B14=O9,25,0)+IF(C14=O9,18,0)+IF(D14=O9,15,0)+IF(E14=O9,12,0)+IF(F14=O9,10,0)+IF(G14=O9,8,0)+IF(H14=O9,6,0)+IF(I14=O9,4,0)+IF(J14=O9,2,0)+IF(K14=O9,1,0)+IF(AND(L14=O9,L14&lt;&gt;""),1,0)+IF(B15=O9,25,0)+IF(C15=O9,18,0)+IF(D15=O9,15,0)+IF(E15=O9,12,0)+IF(F15=O9,10,0)+IF(G15=O9,8,0)+IF(H15=O9,6,0)+IF(I15=O9,4,0)+IF(J15=O9,2,0)+IF(K15=O9,1,0)+IF(AND(L15=O9,L15&lt;&gt;""),1,0)+IF(B16=O9,25,0)+IF(C16=O9,18,0)+IF(D16=O9,15,0)+IF(E16=O9,12,0)+IF(F16=O9,10,0)+IF(G16=O9,8,0)+IF(H16=O9,6,0)+IF(I16=O9,4,0)+IF(J16=O9,2,0)+IF(K16=O9,1,0)+IF(AND(L16=O9,L16&lt;&gt;""),1,0)+IF(B17=O9,25,0)+IF(C17=O9,18,0)+IF(D17=O9,15,0)+IF(E17=O9,12,0)+IF(F17=O9,10,0)+IF(G17=O9,8,0)+IF(H17=O9,6,0)+IF(I17=O9,4,0)+IF(J17=O9,2,0)+IF(K17=O9,1,0)+IF(AND(L17=O9,L17&lt;&gt;""),1,0)+IF(B18=O9,25,0)+IF(C18=O9,18,0)+IF(D18=O9,15,0)+IF(E18=O9,12,0)+IF(F18=O9,10,0)+IF(G18=O9,8,0)+IF(H18=O9,6,0)+IF(I18=O9,4,0)+IF(J18=O9,2,0)+IF(K18=O9,1,0)+IF(AND(L18=O9,L18&lt;&gt;""),1,0)+IF(B19=O9,25,0)+IF(C19=O9,18,0)+IF(D19=O9,15,0)+IF(E19=O9,12,0)+IF(F19=O9,10,0)+IF(G19=O9,8,0)+IF(H19=O9,6,0)+IF(I19=O9,4,0)+IF(J19=O9,2,0)+IF(K19=O9,1,0)+IF(AND(L19=O9,L19&lt;&gt;""),1,0)+IF(B20=O9,25,0)+IF(C20=O9,18,0)+IF(D20=O9,15,0)+IF(E20=O9,12,0)+IF(F20=O9,10,0)+IF(G20=O9,8,0)+IF(H20=O9,6,0)+IF(I20=O9,4,0)+IF(J20=O9,2,0)+IF(K20=O9,1,0)+IF(AND(L20=O9,L20&lt;&gt;""),1,0)+IF(B21=O9,25,0)+IF(C21=O9,18,0)+IF(D21=O9,15,0)+IF(E21=O9,12,0)+IF(F21=O9,10,0)+IF(G21=O9,8,0)+IF(H21=O9,6,0)+IF(I21=O9,4,0)+IF(J21=O9,2,0)+IF(K21=O9,1,0)+IF(AND(L21=O9,L21&lt;&gt;""),1,0)+IF(B22=O9,25,0)+IF(C22=O9,18,0)+IF(D22=O9,15,0)+IF(E22=O9,12,0)+IF(F22=O9,10,0)+IF(G22=O9,8,0)+IF(H22=O9,6,0)+IF(I22=O9,4,0)+IF(J22=O9,2,0)+IF(K22=O9,1,0)+IF(AND(L22=O9,L22&lt;&gt;""),1,0)+IF(B23=O9,25,0)+IF(C23=O9,18,0)+IF(D23=O9,15,0)+IF(E23=O9,12,0)+IF(F23=O9,10,0)+IF(G23=O9,8,0)+IF(H23=O9,6,0)+IF(I23=O9,4,0)+IF(J23=O9,2,0)+IF(K23=O9,1,0)+IF(AND(L23=O9,L23&lt;&gt;""),1,0)+IF(B24=O9,25,0)+IF(C24=O9,18,0)+IF(D24=O9,15,0)+IF(E24=O9,12,0)+IF(F24=O9,10,0)+IF(G24=O9,8,0)+IF(H24=O9,6,0)+IF(I24=O9,4,0)+IF(J24=O9,2,0)+IF(K24=O9,1,0)+IF(AND(L24=O9,L24&lt;&gt;""),1,0)+IF(B25=O9,25,0)+IF(C25=O9,18,0)+IF(D25=O9,15,0)+IF(E25=O9,12,0)+IF(F25=O9,10,0)+IF(G25=O9,8,0)+IF(H25=O9,6,0)+IF(I25=O9,4,0)+IF(J25=O9,2,0)+IF(K25=O9,1,0)+IF(AND(L25=O9,L25&lt;&gt;""),1,0)+IF(B26=O9,25,0)+IF(C26=O9,18,0)+IF(D26=O9,15,0)+IF(E26=O9,12,0)+IF(F26=O9,10,0)+IF(G26=O9,8,0)+IF(H26=O9,6,0)+IF(I26=O9,4,0)+IF(J26=O9,2,0)+IF(K26=O9,1,0)+IF(AND(L26=O9,L26&lt;&gt;""),1,0)+IF(B27=O9,25,0)+IF(C27=O9,18,0)+IF(D27=O9,15,0)+IF(E27=O9,12,0)+IF(F27=O9,10,0)+IF(G27=O9,8,0)+IF(H27=O9,6,0)+IF(I27=O9,4,0)+IF(J27=O9,2,0)+IF(K27=O9,1,0)+IF(AND(L27=O9,L27&lt;&gt;""),1,0)+IF(B28=O9,25,0)+IF(C28=O9,18,0)+IF(D28=O9,15,0)+IF(E28=O9,12,0)+IF(F28=O9,10,0)+IF(G28=O9,8,0)+IF(H28=O9,6,0)+IF(I28=O9,4,0)+IF(J28=O9,2,0)+IF(K28=O9,1,0)+IF(AND(L28=O9,L28&lt;&gt;""),1,0)+IF(B29=O9,25,0)+IF(C29=O9,18,0)+IF(D29=O9,15,0)+IF(E29=O9,12,0)+IF(F29=O9,10,0)+IF(G29=O9,8,0)+IF(H29=O9,6,0)+IF(I29=O9,4,0)+IF(J29=O9,2,0)+IF(K29=O9,1,0)+IF(AND(L29=O9,L29&lt;&gt;""),1,0),0)</f>
        <v>8</v>
      </c>
      <c r="S9" s="147" t="n">
        <f aca="false">Q9+R9</f>
        <v>49</v>
      </c>
      <c r="T9" s="10" t="n">
        <f aca="false">RANK(S9,S$6:S$27,0)</f>
        <v>4</v>
      </c>
    </row>
    <row r="10" customFormat="false" ht="14.25" hidden="false" customHeight="true" outlineLevel="0" collapsed="false">
      <c r="A10" s="9" t="s">
        <v>362</v>
      </c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O10" s="9" t="s">
        <v>54</v>
      </c>
      <c r="P10" s="9" t="str">
        <f aca="false">IFERROR(INDEX('Driver Bios'!$C$2:$C$23,MATCH(O10,'Driver Bios'!$B$2:$B$23,0)),"Haas")</f>
        <v>Haas</v>
      </c>
      <c r="Q10" s="8" t="n">
        <f aca="false">IFERROR(INDEX('Driver Standings'!$E$2:$E$23,MATCH(O10,'Driver Standings'!$B$2:$B$23,0)),0)</f>
        <v>17</v>
      </c>
      <c r="R10" s="8" t="n">
        <f aca="false">IFERROR(IF(B8=O10,25,0)+IF(C8=O10,18,0)+IF(D8=O10,15,0)+IF(E8=O10,12,0)+IF(F8=O10,10,0)+IF(G8=O10,8,0)+IF(H8=O10,6,0)+IF(I8=O10,4,0)+IF(J8=O10,2,0)+IF(K8=O10,1,0)+IF(AND(L8=O10,L8&lt;&gt;""),1,0)+IF(B9=O10,25,0)+IF(C9=O10,18,0)+IF(D9=O10,15,0)+IF(E9=O10,12,0)+IF(F9=O10,10,0)+IF(G9=O10,8,0)+IF(H9=O10,6,0)+IF(I9=O10,4,0)+IF(J9=O10,2,0)+IF(K9=O10,1,0)+IF(AND(L9=O10,L9&lt;&gt;""),1,0)+IF(B10=O10,25,0)+IF(C10=O10,18,0)+IF(D10=O10,15,0)+IF(E10=O10,12,0)+IF(F10=O10,10,0)+IF(G10=O10,8,0)+IF(H10=O10,6,0)+IF(I10=O10,4,0)+IF(J10=O10,2,0)+IF(K10=O10,1,0)+IF(AND(L10=O10,L10&lt;&gt;""),1,0)+IF(B11=O10,25,0)+IF(C11=O10,18,0)+IF(D11=O10,15,0)+IF(E11=O10,12,0)+IF(F11=O10,10,0)+IF(G11=O10,8,0)+IF(H11=O10,6,0)+IF(I11=O10,4,0)+IF(J11=O10,2,0)+IF(K11=O10,1,0)+IF(AND(L11=O10,L11&lt;&gt;""),1,0)+IF(B12=O10,25,0)+IF(C12=O10,18,0)+IF(D12=O10,15,0)+IF(E12=O10,12,0)+IF(F12=O10,10,0)+IF(G12=O10,8,0)+IF(H12=O10,6,0)+IF(I12=O10,4,0)+IF(J12=O10,2,0)+IF(K12=O10,1,0)+IF(AND(L12=O10,L12&lt;&gt;""),1,0)+IF(B13=O10,25,0)+IF(C13=O10,18,0)+IF(D13=O10,15,0)+IF(E13=O10,12,0)+IF(F13=O10,10,0)+IF(G13=O10,8,0)+IF(H13=O10,6,0)+IF(I13=O10,4,0)+IF(J13=O10,2,0)+IF(K13=O10,1,0)+IF(AND(L13=O10,L13&lt;&gt;""),1,0)+IF(B14=O10,25,0)+IF(C14=O10,18,0)+IF(D14=O10,15,0)+IF(E14=O10,12,0)+IF(F14=O10,10,0)+IF(G14=O10,8,0)+IF(H14=O10,6,0)+IF(I14=O10,4,0)+IF(J14=O10,2,0)+IF(K14=O10,1,0)+IF(AND(L14=O10,L14&lt;&gt;""),1,0)+IF(B15=O10,25,0)+IF(C15=O10,18,0)+IF(D15=O10,15,0)+IF(E15=O10,12,0)+IF(F15=O10,10,0)+IF(G15=O10,8,0)+IF(H15=O10,6,0)+IF(I15=O10,4,0)+IF(J15=O10,2,0)+IF(K15=O10,1,0)+IF(AND(L15=O10,L15&lt;&gt;""),1,0)+IF(B16=O10,25,0)+IF(C16=O10,18,0)+IF(D16=O10,15,0)+IF(E16=O10,12,0)+IF(F16=O10,10,0)+IF(G16=O10,8,0)+IF(H16=O10,6,0)+IF(I16=O10,4,0)+IF(J16=O10,2,0)+IF(K16=O10,1,0)+IF(AND(L16=O10,L16&lt;&gt;""),1,0)+IF(B17=O10,25,0)+IF(C17=O10,18,0)+IF(D17=O10,15,0)+IF(E17=O10,12,0)+IF(F17=O10,10,0)+IF(G17=O10,8,0)+IF(H17=O10,6,0)+IF(I17=O10,4,0)+IF(J17=O10,2,0)+IF(K17=O10,1,0)+IF(AND(L17=O10,L17&lt;&gt;""),1,0)+IF(B18=O10,25,0)+IF(C18=O10,18,0)+IF(D18=O10,15,0)+IF(E18=O10,12,0)+IF(F18=O10,10,0)+IF(G18=O10,8,0)+IF(H18=O10,6,0)+IF(I18=O10,4,0)+IF(J18=O10,2,0)+IF(K18=O10,1,0)+IF(AND(L18=O10,L18&lt;&gt;""),1,0)+IF(B19=O10,25,0)+IF(C19=O10,18,0)+IF(D19=O10,15,0)+IF(E19=O10,12,0)+IF(F19=O10,10,0)+IF(G19=O10,8,0)+IF(H19=O10,6,0)+IF(I19=O10,4,0)+IF(J19=O10,2,0)+IF(K19=O10,1,0)+IF(AND(L19=O10,L19&lt;&gt;""),1,0)+IF(B20=O10,25,0)+IF(C20=O10,18,0)+IF(D20=O10,15,0)+IF(E20=O10,12,0)+IF(F20=O10,10,0)+IF(G20=O10,8,0)+IF(H20=O10,6,0)+IF(I20=O10,4,0)+IF(J20=O10,2,0)+IF(K20=O10,1,0)+IF(AND(L20=O10,L20&lt;&gt;""),1,0)+IF(B21=O10,25,0)+IF(C21=O10,18,0)+IF(D21=O10,15,0)+IF(E21=O10,12,0)+IF(F21=O10,10,0)+IF(G21=O10,8,0)+IF(H21=O10,6,0)+IF(I21=O10,4,0)+IF(J21=O10,2,0)+IF(K21=O10,1,0)+IF(AND(L21=O10,L21&lt;&gt;""),1,0)+IF(B22=O10,25,0)+IF(C22=O10,18,0)+IF(D22=O10,15,0)+IF(E22=O10,12,0)+IF(F22=O10,10,0)+IF(G22=O10,8,0)+IF(H22=O10,6,0)+IF(I22=O10,4,0)+IF(J22=O10,2,0)+IF(K22=O10,1,0)+IF(AND(L22=O10,L22&lt;&gt;""),1,0)+IF(B23=O10,25,0)+IF(C23=O10,18,0)+IF(D23=O10,15,0)+IF(E23=O10,12,0)+IF(F23=O10,10,0)+IF(G23=O10,8,0)+IF(H23=O10,6,0)+IF(I23=O10,4,0)+IF(J23=O10,2,0)+IF(K23=O10,1,0)+IF(AND(L23=O10,L23&lt;&gt;""),1,0)+IF(B24=O10,25,0)+IF(C24=O10,18,0)+IF(D24=O10,15,0)+IF(E24=O10,12,0)+IF(F24=O10,10,0)+IF(G24=O10,8,0)+IF(H24=O10,6,0)+IF(I24=O10,4,0)+IF(J24=O10,2,0)+IF(K24=O10,1,0)+IF(AND(L24=O10,L24&lt;&gt;""),1,0)+IF(B25=O10,25,0)+IF(C25=O10,18,0)+IF(D25=O10,15,0)+IF(E25=O10,12,0)+IF(F25=O10,10,0)+IF(G25=O10,8,0)+IF(H25=O10,6,0)+IF(I25=O10,4,0)+IF(J25=O10,2,0)+IF(K25=O10,1,0)+IF(AND(L25=O10,L25&lt;&gt;""),1,0)+IF(B26=O10,25,0)+IF(C26=O10,18,0)+IF(D26=O10,15,0)+IF(E26=O10,12,0)+IF(F26=O10,10,0)+IF(G26=O10,8,0)+IF(H26=O10,6,0)+IF(I26=O10,4,0)+IF(J26=O10,2,0)+IF(K26=O10,1,0)+IF(AND(L26=O10,L26&lt;&gt;""),1,0)+IF(B27=O10,25,0)+IF(C27=O10,18,0)+IF(D27=O10,15,0)+IF(E27=O10,12,0)+IF(F27=O10,10,0)+IF(G27=O10,8,0)+IF(H27=O10,6,0)+IF(I27=O10,4,0)+IF(J27=O10,2,0)+IF(K27=O10,1,0)+IF(AND(L27=O10,L27&lt;&gt;""),1,0)+IF(B28=O10,25,0)+IF(C28=O10,18,0)+IF(D28=O10,15,0)+IF(E28=O10,12,0)+IF(F28=O10,10,0)+IF(G28=O10,8,0)+IF(H28=O10,6,0)+IF(I28=O10,4,0)+IF(J28=O10,2,0)+IF(K28=O10,1,0)+IF(AND(L28=O10,L28&lt;&gt;""),1,0)+IF(B29=O10,25,0)+IF(C29=O10,18,0)+IF(D29=O10,15,0)+IF(E29=O10,12,0)+IF(F29=O10,10,0)+IF(G29=O10,8,0)+IF(H29=O10,6,0)+IF(I29=O10,4,0)+IF(J29=O10,2,0)+IF(K29=O10,1,0)+IF(AND(L29=O10,L29&lt;&gt;""),1,0),0)</f>
        <v>0</v>
      </c>
      <c r="S10" s="146" t="n">
        <f aca="false">Q10+R10</f>
        <v>17</v>
      </c>
      <c r="T10" s="8" t="n">
        <f aca="false">RANK(S10,S$6:S$27,0)</f>
        <v>8</v>
      </c>
    </row>
    <row r="11" customFormat="false" ht="14.25" hidden="false" customHeight="true" outlineLevel="0" collapsed="false">
      <c r="A11" s="9" t="s">
        <v>83</v>
      </c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O11" s="11" t="s">
        <v>52</v>
      </c>
      <c r="P11" s="11" t="str">
        <f aca="false">IFERROR(INDEX('Driver Bios'!$C$2:$C$23,MATCH(O11,'Driver Bios'!$B$2:$B$23,0)),"McLaren")</f>
        <v>McLaren</v>
      </c>
      <c r="Q11" s="10" t="n">
        <f aca="false">IFERROR(INDEX('Driver Standings'!$E$2:$E$23,MATCH(O11,'Driver Standings'!$B$2:$B$23,0)),0)</f>
        <v>25</v>
      </c>
      <c r="R11" s="10" t="n">
        <f aca="false">IFERROR(IF(B8=O11,25,0)+IF(C8=O11,18,0)+IF(D8=O11,15,0)+IF(E8=O11,12,0)+IF(F8=O11,10,0)+IF(G8=O11,8,0)+IF(H8=O11,6,0)+IF(I8=O11,4,0)+IF(J8=O11,2,0)+IF(K8=O11,1,0)+IF(AND(L8=O11,L8&lt;&gt;""),1,0)+IF(B9=O11,25,0)+IF(C9=O11,18,0)+IF(D9=O11,15,0)+IF(E9=O11,12,0)+IF(F9=O11,10,0)+IF(G9=O11,8,0)+IF(H9=O11,6,0)+IF(I9=O11,4,0)+IF(J9=O11,2,0)+IF(K9=O11,1,0)+IF(AND(L9=O11,L9&lt;&gt;""),1,0)+IF(B10=O11,25,0)+IF(C10=O11,18,0)+IF(D10=O11,15,0)+IF(E10=O11,12,0)+IF(F10=O11,10,0)+IF(G10=O11,8,0)+IF(H10=O11,6,0)+IF(I10=O11,4,0)+IF(J10=O11,2,0)+IF(K10=O11,1,0)+IF(AND(L10=O11,L10&lt;&gt;""),1,0)+IF(B11=O11,25,0)+IF(C11=O11,18,0)+IF(D11=O11,15,0)+IF(E11=O11,12,0)+IF(F11=O11,10,0)+IF(G11=O11,8,0)+IF(H11=O11,6,0)+IF(I11=O11,4,0)+IF(J11=O11,2,0)+IF(K11=O11,1,0)+IF(AND(L11=O11,L11&lt;&gt;""),1,0)+IF(B12=O11,25,0)+IF(C12=O11,18,0)+IF(D12=O11,15,0)+IF(E12=O11,12,0)+IF(F12=O11,10,0)+IF(G12=O11,8,0)+IF(H12=O11,6,0)+IF(I12=O11,4,0)+IF(J12=O11,2,0)+IF(K12=O11,1,0)+IF(AND(L12=O11,L12&lt;&gt;""),1,0)+IF(B13=O11,25,0)+IF(C13=O11,18,0)+IF(D13=O11,15,0)+IF(E13=O11,12,0)+IF(F13=O11,10,0)+IF(G13=O11,8,0)+IF(H13=O11,6,0)+IF(I13=O11,4,0)+IF(J13=O11,2,0)+IF(K13=O11,1,0)+IF(AND(L13=O11,L13&lt;&gt;""),1,0)+IF(B14=O11,25,0)+IF(C14=O11,18,0)+IF(D14=O11,15,0)+IF(E14=O11,12,0)+IF(F14=O11,10,0)+IF(G14=O11,8,0)+IF(H14=O11,6,0)+IF(I14=O11,4,0)+IF(J14=O11,2,0)+IF(K14=O11,1,0)+IF(AND(L14=O11,L14&lt;&gt;""),1,0)+IF(B15=O11,25,0)+IF(C15=O11,18,0)+IF(D15=O11,15,0)+IF(E15=O11,12,0)+IF(F15=O11,10,0)+IF(G15=O11,8,0)+IF(H15=O11,6,0)+IF(I15=O11,4,0)+IF(J15=O11,2,0)+IF(K15=O11,1,0)+IF(AND(L15=O11,L15&lt;&gt;""),1,0)+IF(B16=O11,25,0)+IF(C16=O11,18,0)+IF(D16=O11,15,0)+IF(E16=O11,12,0)+IF(F16=O11,10,0)+IF(G16=O11,8,0)+IF(H16=O11,6,0)+IF(I16=O11,4,0)+IF(J16=O11,2,0)+IF(K16=O11,1,0)+IF(AND(L16=O11,L16&lt;&gt;""),1,0)+IF(B17=O11,25,0)+IF(C17=O11,18,0)+IF(D17=O11,15,0)+IF(E17=O11,12,0)+IF(F17=O11,10,0)+IF(G17=O11,8,0)+IF(H17=O11,6,0)+IF(I17=O11,4,0)+IF(J17=O11,2,0)+IF(K17=O11,1,0)+IF(AND(L17=O11,L17&lt;&gt;""),1,0)+IF(B18=O11,25,0)+IF(C18=O11,18,0)+IF(D18=O11,15,0)+IF(E18=O11,12,0)+IF(F18=O11,10,0)+IF(G18=O11,8,0)+IF(H18=O11,6,0)+IF(I18=O11,4,0)+IF(J18=O11,2,0)+IF(K18=O11,1,0)+IF(AND(L18=O11,L18&lt;&gt;""),1,0)+IF(B19=O11,25,0)+IF(C19=O11,18,0)+IF(D19=O11,15,0)+IF(E19=O11,12,0)+IF(F19=O11,10,0)+IF(G19=O11,8,0)+IF(H19=O11,6,0)+IF(I19=O11,4,0)+IF(J19=O11,2,0)+IF(K19=O11,1,0)+IF(AND(L19=O11,L19&lt;&gt;""),1,0)+IF(B20=O11,25,0)+IF(C20=O11,18,0)+IF(D20=O11,15,0)+IF(E20=O11,12,0)+IF(F20=O11,10,0)+IF(G20=O11,8,0)+IF(H20=O11,6,0)+IF(I20=O11,4,0)+IF(J20=O11,2,0)+IF(K20=O11,1,0)+IF(AND(L20=O11,L20&lt;&gt;""),1,0)+IF(B21=O11,25,0)+IF(C21=O11,18,0)+IF(D21=O11,15,0)+IF(E21=O11,12,0)+IF(F21=O11,10,0)+IF(G21=O11,8,0)+IF(H21=O11,6,0)+IF(I21=O11,4,0)+IF(J21=O11,2,0)+IF(K21=O11,1,0)+IF(AND(L21=O11,L21&lt;&gt;""),1,0)+IF(B22=O11,25,0)+IF(C22=O11,18,0)+IF(D22=O11,15,0)+IF(E22=O11,12,0)+IF(F22=O11,10,0)+IF(G22=O11,8,0)+IF(H22=O11,6,0)+IF(I22=O11,4,0)+IF(J22=O11,2,0)+IF(K22=O11,1,0)+IF(AND(L22=O11,L22&lt;&gt;""),1,0)+IF(B23=O11,25,0)+IF(C23=O11,18,0)+IF(D23=O11,15,0)+IF(E23=O11,12,0)+IF(F23=O11,10,0)+IF(G23=O11,8,0)+IF(H23=O11,6,0)+IF(I23=O11,4,0)+IF(J23=O11,2,0)+IF(K23=O11,1,0)+IF(AND(L23=O11,L23&lt;&gt;""),1,0)+IF(B24=O11,25,0)+IF(C24=O11,18,0)+IF(D24=O11,15,0)+IF(E24=O11,12,0)+IF(F24=O11,10,0)+IF(G24=O11,8,0)+IF(H24=O11,6,0)+IF(I24=O11,4,0)+IF(J24=O11,2,0)+IF(K24=O11,1,0)+IF(AND(L24=O11,L24&lt;&gt;""),1,0)+IF(B25=O11,25,0)+IF(C25=O11,18,0)+IF(D25=O11,15,0)+IF(E25=O11,12,0)+IF(F25=O11,10,0)+IF(G25=O11,8,0)+IF(H25=O11,6,0)+IF(I25=O11,4,0)+IF(J25=O11,2,0)+IF(K25=O11,1,0)+IF(AND(L25=O11,L25&lt;&gt;""),1,0)+IF(B26=O11,25,0)+IF(C26=O11,18,0)+IF(D26=O11,15,0)+IF(E26=O11,12,0)+IF(F26=O11,10,0)+IF(G26=O11,8,0)+IF(H26=O11,6,0)+IF(I26=O11,4,0)+IF(J26=O11,2,0)+IF(K26=O11,1,0)+IF(AND(L26=O11,L26&lt;&gt;""),1,0)+IF(B27=O11,25,0)+IF(C27=O11,18,0)+IF(D27=O11,15,0)+IF(E27=O11,12,0)+IF(F27=O11,10,0)+IF(G27=O11,8,0)+IF(H27=O11,6,0)+IF(I27=O11,4,0)+IF(J27=O11,2,0)+IF(K27=O11,1,0)+IF(AND(L27=O11,L27&lt;&gt;""),1,0)+IF(B28=O11,25,0)+IF(C28=O11,18,0)+IF(D28=O11,15,0)+IF(E28=O11,12,0)+IF(F28=O11,10,0)+IF(G28=O11,8,0)+IF(H28=O11,6,0)+IF(I28=O11,4,0)+IF(J28=O11,2,0)+IF(K28=O11,1,0)+IF(AND(L28=O11,L28&lt;&gt;""),1,0)+IF(B29=O11,25,0)+IF(C29=O11,18,0)+IF(D29=O11,15,0)+IF(E29=O11,12,0)+IF(F29=O11,10,0)+IF(G29=O11,8,0)+IF(H29=O11,6,0)+IF(I29=O11,4,0)+IF(J29=O11,2,0)+IF(K29=O11,1,0)+IF(AND(L29=O11,L29&lt;&gt;""),1,0),0)</f>
        <v>10</v>
      </c>
      <c r="S11" s="147" t="n">
        <f aca="false">Q11+R11</f>
        <v>35</v>
      </c>
      <c r="T11" s="10" t="n">
        <f aca="false">RANK(S11,S$6:S$27,0)</f>
        <v>6</v>
      </c>
    </row>
    <row r="12" customFormat="false" ht="14.25" hidden="false" customHeight="true" outlineLevel="0" collapsed="false">
      <c r="A12" s="9" t="s">
        <v>84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O12" s="9" t="s">
        <v>57</v>
      </c>
      <c r="P12" s="9" t="str">
        <f aca="false">IFERROR(INDEX('Driver Bios'!$C$2:$C$23,MATCH(O12,'Driver Bios'!$B$2:$B$23,0)),"Alpine")</f>
        <v>Alpine</v>
      </c>
      <c r="Q12" s="8" t="n">
        <f aca="false">IFERROR(INDEX('Driver Standings'!$E$2:$E$23,MATCH(O12,'Driver Standings'!$B$2:$B$23,0)),0)</f>
        <v>15</v>
      </c>
      <c r="R12" s="8" t="n">
        <f aca="false">IFERROR(IF(B8=O12,25,0)+IF(C8=O12,18,0)+IF(D8=O12,15,0)+IF(E8=O12,12,0)+IF(F8=O12,10,0)+IF(G8=O12,8,0)+IF(H8=O12,6,0)+IF(I8=O12,4,0)+IF(J8=O12,2,0)+IF(K8=O12,1,0)+IF(AND(L8=O12,L8&lt;&gt;""),1,0)+IF(B9=O12,25,0)+IF(C9=O12,18,0)+IF(D9=O12,15,0)+IF(E9=O12,12,0)+IF(F9=O12,10,0)+IF(G9=O12,8,0)+IF(H9=O12,6,0)+IF(I9=O12,4,0)+IF(J9=O12,2,0)+IF(K9=O12,1,0)+IF(AND(L9=O12,L9&lt;&gt;""),1,0)+IF(B10=O12,25,0)+IF(C10=O12,18,0)+IF(D10=O12,15,0)+IF(E10=O12,12,0)+IF(F10=O12,10,0)+IF(G10=O12,8,0)+IF(H10=O12,6,0)+IF(I10=O12,4,0)+IF(J10=O12,2,0)+IF(K10=O12,1,0)+IF(AND(L10=O12,L10&lt;&gt;""),1,0)+IF(B11=O12,25,0)+IF(C11=O12,18,0)+IF(D11=O12,15,0)+IF(E11=O12,12,0)+IF(F11=O12,10,0)+IF(G11=O12,8,0)+IF(H11=O12,6,0)+IF(I11=O12,4,0)+IF(J11=O12,2,0)+IF(K11=O12,1,0)+IF(AND(L11=O12,L11&lt;&gt;""),1,0)+IF(B12=O12,25,0)+IF(C12=O12,18,0)+IF(D12=O12,15,0)+IF(E12=O12,12,0)+IF(F12=O12,10,0)+IF(G12=O12,8,0)+IF(H12=O12,6,0)+IF(I12=O12,4,0)+IF(J12=O12,2,0)+IF(K12=O12,1,0)+IF(AND(L12=O12,L12&lt;&gt;""),1,0)+IF(B13=O12,25,0)+IF(C13=O12,18,0)+IF(D13=O12,15,0)+IF(E13=O12,12,0)+IF(F13=O12,10,0)+IF(G13=O12,8,0)+IF(H13=O12,6,0)+IF(I13=O12,4,0)+IF(J13=O12,2,0)+IF(K13=O12,1,0)+IF(AND(L13=O12,L13&lt;&gt;""),1,0)+IF(B14=O12,25,0)+IF(C14=O12,18,0)+IF(D14=O12,15,0)+IF(E14=O12,12,0)+IF(F14=O12,10,0)+IF(G14=O12,8,0)+IF(H14=O12,6,0)+IF(I14=O12,4,0)+IF(J14=O12,2,0)+IF(K14=O12,1,0)+IF(AND(L14=O12,L14&lt;&gt;""),1,0)+IF(B15=O12,25,0)+IF(C15=O12,18,0)+IF(D15=O12,15,0)+IF(E15=O12,12,0)+IF(F15=O12,10,0)+IF(G15=O12,8,0)+IF(H15=O12,6,0)+IF(I15=O12,4,0)+IF(J15=O12,2,0)+IF(K15=O12,1,0)+IF(AND(L15=O12,L15&lt;&gt;""),1,0)+IF(B16=O12,25,0)+IF(C16=O12,18,0)+IF(D16=O12,15,0)+IF(E16=O12,12,0)+IF(F16=O12,10,0)+IF(G16=O12,8,0)+IF(H16=O12,6,0)+IF(I16=O12,4,0)+IF(J16=O12,2,0)+IF(K16=O12,1,0)+IF(AND(L16=O12,L16&lt;&gt;""),1,0)+IF(B17=O12,25,0)+IF(C17=O12,18,0)+IF(D17=O12,15,0)+IF(E17=O12,12,0)+IF(F17=O12,10,0)+IF(G17=O12,8,0)+IF(H17=O12,6,0)+IF(I17=O12,4,0)+IF(J17=O12,2,0)+IF(K17=O12,1,0)+IF(AND(L17=O12,L17&lt;&gt;""),1,0)+IF(B18=O12,25,0)+IF(C18=O12,18,0)+IF(D18=O12,15,0)+IF(E18=O12,12,0)+IF(F18=O12,10,0)+IF(G18=O12,8,0)+IF(H18=O12,6,0)+IF(I18=O12,4,0)+IF(J18=O12,2,0)+IF(K18=O12,1,0)+IF(AND(L18=O12,L18&lt;&gt;""),1,0)+IF(B19=O12,25,0)+IF(C19=O12,18,0)+IF(D19=O12,15,0)+IF(E19=O12,12,0)+IF(F19=O12,10,0)+IF(G19=O12,8,0)+IF(H19=O12,6,0)+IF(I19=O12,4,0)+IF(J19=O12,2,0)+IF(K19=O12,1,0)+IF(AND(L19=O12,L19&lt;&gt;""),1,0)+IF(B20=O12,25,0)+IF(C20=O12,18,0)+IF(D20=O12,15,0)+IF(E20=O12,12,0)+IF(F20=O12,10,0)+IF(G20=O12,8,0)+IF(H20=O12,6,0)+IF(I20=O12,4,0)+IF(J20=O12,2,0)+IF(K20=O12,1,0)+IF(AND(L20=O12,L20&lt;&gt;""),1,0)+IF(B21=O12,25,0)+IF(C21=O12,18,0)+IF(D21=O12,15,0)+IF(E21=O12,12,0)+IF(F21=O12,10,0)+IF(G21=O12,8,0)+IF(H21=O12,6,0)+IF(I21=O12,4,0)+IF(J21=O12,2,0)+IF(K21=O12,1,0)+IF(AND(L21=O12,L21&lt;&gt;""),1,0)+IF(B22=O12,25,0)+IF(C22=O12,18,0)+IF(D22=O12,15,0)+IF(E22=O12,12,0)+IF(F22=O12,10,0)+IF(G22=O12,8,0)+IF(H22=O12,6,0)+IF(I22=O12,4,0)+IF(J22=O12,2,0)+IF(K22=O12,1,0)+IF(AND(L22=O12,L22&lt;&gt;""),1,0)+IF(B23=O12,25,0)+IF(C23=O12,18,0)+IF(D23=O12,15,0)+IF(E23=O12,12,0)+IF(F23=O12,10,0)+IF(G23=O12,8,0)+IF(H23=O12,6,0)+IF(I23=O12,4,0)+IF(J23=O12,2,0)+IF(K23=O12,1,0)+IF(AND(L23=O12,L23&lt;&gt;""),1,0)+IF(B24=O12,25,0)+IF(C24=O12,18,0)+IF(D24=O12,15,0)+IF(E24=O12,12,0)+IF(F24=O12,10,0)+IF(G24=O12,8,0)+IF(H24=O12,6,0)+IF(I24=O12,4,0)+IF(J24=O12,2,0)+IF(K24=O12,1,0)+IF(AND(L24=O12,L24&lt;&gt;""),1,0)+IF(B25=O12,25,0)+IF(C25=O12,18,0)+IF(D25=O12,15,0)+IF(E25=O12,12,0)+IF(F25=O12,10,0)+IF(G25=O12,8,0)+IF(H25=O12,6,0)+IF(I25=O12,4,0)+IF(J25=O12,2,0)+IF(K25=O12,1,0)+IF(AND(L25=O12,L25&lt;&gt;""),1,0)+IF(B26=O12,25,0)+IF(C26=O12,18,0)+IF(D26=O12,15,0)+IF(E26=O12,12,0)+IF(F26=O12,10,0)+IF(G26=O12,8,0)+IF(H26=O12,6,0)+IF(I26=O12,4,0)+IF(J26=O12,2,0)+IF(K26=O12,1,0)+IF(AND(L26=O12,L26&lt;&gt;""),1,0)+IF(B27=O12,25,0)+IF(C27=O12,18,0)+IF(D27=O12,15,0)+IF(E27=O12,12,0)+IF(F27=O12,10,0)+IF(G27=O12,8,0)+IF(H27=O12,6,0)+IF(I27=O12,4,0)+IF(J27=O12,2,0)+IF(K27=O12,1,0)+IF(AND(L27=O12,L27&lt;&gt;""),1,0)+IF(B28=O12,25,0)+IF(C28=O12,18,0)+IF(D28=O12,15,0)+IF(E28=O12,12,0)+IF(F28=O12,10,0)+IF(G28=O12,8,0)+IF(H28=O12,6,0)+IF(I28=O12,4,0)+IF(J28=O12,2,0)+IF(K28=O12,1,0)+IF(AND(L28=O12,L28&lt;&gt;""),1,0)+IF(B29=O12,25,0)+IF(C29=O12,18,0)+IF(D29=O12,15,0)+IF(E29=O12,12,0)+IF(F29=O12,10,0)+IF(G29=O12,8,0)+IF(H29=O12,6,0)+IF(I29=O12,4,0)+IF(J29=O12,2,0)+IF(K29=O12,1,0)+IF(AND(L29=O12,L29&lt;&gt;""),1,0),0)</f>
        <v>6</v>
      </c>
      <c r="S12" s="146" t="n">
        <f aca="false">Q12+R12</f>
        <v>21</v>
      </c>
      <c r="T12" s="8" t="n">
        <f aca="false">RANK(S12,S$6:S$27,0)</f>
        <v>7</v>
      </c>
    </row>
    <row r="13" customFormat="false" ht="14.25" hidden="false" customHeight="true" outlineLevel="0" collapsed="false">
      <c r="A13" s="9" t="s">
        <v>266</v>
      </c>
      <c r="B13" s="148"/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O13" s="11" t="s">
        <v>53</v>
      </c>
      <c r="P13" s="11" t="str">
        <f aca="false">IFERROR(INDEX('Driver Bios'!$C$2:$C$23,MATCH(O13,'Driver Bios'!$B$2:$B$23,0)),"Red Bull Racing")</f>
        <v>Red Bull Racing</v>
      </c>
      <c r="Q13" s="10" t="n">
        <f aca="false">IFERROR(INDEX('Driver Standings'!$E$2:$E$23,MATCH(O13,'Driver Standings'!$B$2:$B$23,0)),0)</f>
        <v>12</v>
      </c>
      <c r="R13" s="10" t="n">
        <f aca="false">IFERROR(IF(B8=O13,25,0)+IF(C8=O13,18,0)+IF(D8=O13,15,0)+IF(E8=O13,12,0)+IF(F8=O13,10,0)+IF(G8=O13,8,0)+IF(H8=O13,6,0)+IF(I8=O13,4,0)+IF(J8=O13,2,0)+IF(K8=O13,1,0)+IF(AND(L8=O13,L8&lt;&gt;""),1,0)+IF(B9=O13,25,0)+IF(C9=O13,18,0)+IF(D9=O13,15,0)+IF(E9=O13,12,0)+IF(F9=O13,10,0)+IF(G9=O13,8,0)+IF(H9=O13,6,0)+IF(I9=O13,4,0)+IF(J9=O13,2,0)+IF(K9=O13,1,0)+IF(AND(L9=O13,L9&lt;&gt;""),1,0)+IF(B10=O13,25,0)+IF(C10=O13,18,0)+IF(D10=O13,15,0)+IF(E10=O13,12,0)+IF(F10=O13,10,0)+IF(G10=O13,8,0)+IF(H10=O13,6,0)+IF(I10=O13,4,0)+IF(J10=O13,2,0)+IF(K10=O13,1,0)+IF(AND(L10=O13,L10&lt;&gt;""),1,0)+IF(B11=O13,25,0)+IF(C11=O13,18,0)+IF(D11=O13,15,0)+IF(E11=O13,12,0)+IF(F11=O13,10,0)+IF(G11=O13,8,0)+IF(H11=O13,6,0)+IF(I11=O13,4,0)+IF(J11=O13,2,0)+IF(K11=O13,1,0)+IF(AND(L11=O13,L11&lt;&gt;""),1,0)+IF(B12=O13,25,0)+IF(C12=O13,18,0)+IF(D12=O13,15,0)+IF(E12=O13,12,0)+IF(F12=O13,10,0)+IF(G12=O13,8,0)+IF(H12=O13,6,0)+IF(I12=O13,4,0)+IF(J12=O13,2,0)+IF(K12=O13,1,0)+IF(AND(L12=O13,L12&lt;&gt;""),1,0)+IF(B13=O13,25,0)+IF(C13=O13,18,0)+IF(D13=O13,15,0)+IF(E13=O13,12,0)+IF(F13=O13,10,0)+IF(G13=O13,8,0)+IF(H13=O13,6,0)+IF(I13=O13,4,0)+IF(J13=O13,2,0)+IF(K13=O13,1,0)+IF(AND(L13=O13,L13&lt;&gt;""),1,0)+IF(B14=O13,25,0)+IF(C14=O13,18,0)+IF(D14=O13,15,0)+IF(E14=O13,12,0)+IF(F14=O13,10,0)+IF(G14=O13,8,0)+IF(H14=O13,6,0)+IF(I14=O13,4,0)+IF(J14=O13,2,0)+IF(K14=O13,1,0)+IF(AND(L14=O13,L14&lt;&gt;""),1,0)+IF(B15=O13,25,0)+IF(C15=O13,18,0)+IF(D15=O13,15,0)+IF(E15=O13,12,0)+IF(F15=O13,10,0)+IF(G15=O13,8,0)+IF(H15=O13,6,0)+IF(I15=O13,4,0)+IF(J15=O13,2,0)+IF(K15=O13,1,0)+IF(AND(L15=O13,L15&lt;&gt;""),1,0)+IF(B16=O13,25,0)+IF(C16=O13,18,0)+IF(D16=O13,15,0)+IF(E16=O13,12,0)+IF(F16=O13,10,0)+IF(G16=O13,8,0)+IF(H16=O13,6,0)+IF(I16=O13,4,0)+IF(J16=O13,2,0)+IF(K16=O13,1,0)+IF(AND(L16=O13,L16&lt;&gt;""),1,0)+IF(B17=O13,25,0)+IF(C17=O13,18,0)+IF(D17=O13,15,0)+IF(E17=O13,12,0)+IF(F17=O13,10,0)+IF(G17=O13,8,0)+IF(H17=O13,6,0)+IF(I17=O13,4,0)+IF(J17=O13,2,0)+IF(K17=O13,1,0)+IF(AND(L17=O13,L17&lt;&gt;""),1,0)+IF(B18=O13,25,0)+IF(C18=O13,18,0)+IF(D18=O13,15,0)+IF(E18=O13,12,0)+IF(F18=O13,10,0)+IF(G18=O13,8,0)+IF(H18=O13,6,0)+IF(I18=O13,4,0)+IF(J18=O13,2,0)+IF(K18=O13,1,0)+IF(AND(L18=O13,L18&lt;&gt;""),1,0)+IF(B19=O13,25,0)+IF(C19=O13,18,0)+IF(D19=O13,15,0)+IF(E19=O13,12,0)+IF(F19=O13,10,0)+IF(G19=O13,8,0)+IF(H19=O13,6,0)+IF(I19=O13,4,0)+IF(J19=O13,2,0)+IF(K19=O13,1,0)+IF(AND(L19=O13,L19&lt;&gt;""),1,0)+IF(B20=O13,25,0)+IF(C20=O13,18,0)+IF(D20=O13,15,0)+IF(E20=O13,12,0)+IF(F20=O13,10,0)+IF(G20=O13,8,0)+IF(H20=O13,6,0)+IF(I20=O13,4,0)+IF(J20=O13,2,0)+IF(K20=O13,1,0)+IF(AND(L20=O13,L20&lt;&gt;""),1,0)+IF(B21=O13,25,0)+IF(C21=O13,18,0)+IF(D21=O13,15,0)+IF(E21=O13,12,0)+IF(F21=O13,10,0)+IF(G21=O13,8,0)+IF(H21=O13,6,0)+IF(I21=O13,4,0)+IF(J21=O13,2,0)+IF(K21=O13,1,0)+IF(AND(L21=O13,L21&lt;&gt;""),1,0)+IF(B22=O13,25,0)+IF(C22=O13,18,0)+IF(D22=O13,15,0)+IF(E22=O13,12,0)+IF(F22=O13,10,0)+IF(G22=O13,8,0)+IF(H22=O13,6,0)+IF(I22=O13,4,0)+IF(J22=O13,2,0)+IF(K22=O13,1,0)+IF(AND(L22=O13,L22&lt;&gt;""),1,0)+IF(B23=O13,25,0)+IF(C23=O13,18,0)+IF(D23=O13,15,0)+IF(E23=O13,12,0)+IF(F23=O13,10,0)+IF(G23=O13,8,0)+IF(H23=O13,6,0)+IF(I23=O13,4,0)+IF(J23=O13,2,0)+IF(K23=O13,1,0)+IF(AND(L23=O13,L23&lt;&gt;""),1,0)+IF(B24=O13,25,0)+IF(C24=O13,18,0)+IF(D24=O13,15,0)+IF(E24=O13,12,0)+IF(F24=O13,10,0)+IF(G24=O13,8,0)+IF(H24=O13,6,0)+IF(I24=O13,4,0)+IF(J24=O13,2,0)+IF(K24=O13,1,0)+IF(AND(L24=O13,L24&lt;&gt;""),1,0)+IF(B25=O13,25,0)+IF(C25=O13,18,0)+IF(D25=O13,15,0)+IF(E25=O13,12,0)+IF(F25=O13,10,0)+IF(G25=O13,8,0)+IF(H25=O13,6,0)+IF(I25=O13,4,0)+IF(J25=O13,2,0)+IF(K25=O13,1,0)+IF(AND(L25=O13,L25&lt;&gt;""),1,0)+IF(B26=O13,25,0)+IF(C26=O13,18,0)+IF(D26=O13,15,0)+IF(E26=O13,12,0)+IF(F26=O13,10,0)+IF(G26=O13,8,0)+IF(H26=O13,6,0)+IF(I26=O13,4,0)+IF(J26=O13,2,0)+IF(K26=O13,1,0)+IF(AND(L26=O13,L26&lt;&gt;""),1,0)+IF(B27=O13,25,0)+IF(C27=O13,18,0)+IF(D27=O13,15,0)+IF(E27=O13,12,0)+IF(F27=O13,10,0)+IF(G27=O13,8,0)+IF(H27=O13,6,0)+IF(I27=O13,4,0)+IF(J27=O13,2,0)+IF(K27=O13,1,0)+IF(AND(L27=O13,L27&lt;&gt;""),1,0)+IF(B28=O13,25,0)+IF(C28=O13,18,0)+IF(D28=O13,15,0)+IF(E28=O13,12,0)+IF(F28=O13,10,0)+IF(G28=O13,8,0)+IF(H28=O13,6,0)+IF(I28=O13,4,0)+IF(J28=O13,2,0)+IF(K28=O13,1,0)+IF(AND(L28=O13,L28&lt;&gt;""),1,0)+IF(B29=O13,25,0)+IF(C29=O13,18,0)+IF(D29=O13,15,0)+IF(E29=O13,12,0)+IF(F29=O13,10,0)+IF(G29=O13,8,0)+IF(H29=O13,6,0)+IF(I29=O13,4,0)+IF(J29=O13,2,0)+IF(K29=O13,1,0)+IF(AND(L29=O13,L29&lt;&gt;""),1,0),0)</f>
        <v>4</v>
      </c>
      <c r="S13" s="147" t="n">
        <f aca="false">Q13+R13</f>
        <v>16</v>
      </c>
      <c r="T13" s="10" t="n">
        <f aca="false">RANK(S13,S$6:S$27,0)</f>
        <v>9</v>
      </c>
    </row>
    <row r="14" customFormat="false" ht="14.25" hidden="false" customHeight="true" outlineLevel="0" collapsed="false">
      <c r="A14" s="9" t="s">
        <v>272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O14" s="9" t="s">
        <v>61</v>
      </c>
      <c r="P14" s="9" t="str">
        <f aca="false">IFERROR(INDEX('Driver Bios'!$C$2:$C$23,MATCH(O14,'Driver Bios'!$B$2:$B$23,0)),"Racing Bulls")</f>
        <v>Racing Bulls</v>
      </c>
      <c r="Q14" s="8" t="n">
        <f aca="false">IFERROR(INDEX('Driver Standings'!$E$2:$E$23,MATCH(O14,'Driver Standings'!$B$2:$B$23,0)),0)</f>
        <v>10</v>
      </c>
      <c r="R14" s="8" t="n">
        <f aca="false">IFERROR(IF(B8=O14,25,0)+IF(C8=O14,18,0)+IF(D8=O14,15,0)+IF(E8=O14,12,0)+IF(F8=O14,10,0)+IF(G8=O14,8,0)+IF(H8=O14,6,0)+IF(I8=O14,4,0)+IF(J8=O14,2,0)+IF(K8=O14,1,0)+IF(AND(L8=O14,L8&lt;&gt;""),1,0)+IF(B9=O14,25,0)+IF(C9=O14,18,0)+IF(D9=O14,15,0)+IF(E9=O14,12,0)+IF(F9=O14,10,0)+IF(G9=O14,8,0)+IF(H9=O14,6,0)+IF(I9=O14,4,0)+IF(J9=O14,2,0)+IF(K9=O14,1,0)+IF(AND(L9=O14,L9&lt;&gt;""),1,0)+IF(B10=O14,25,0)+IF(C10=O14,18,0)+IF(D10=O14,15,0)+IF(E10=O14,12,0)+IF(F10=O14,10,0)+IF(G10=O14,8,0)+IF(H10=O14,6,0)+IF(I10=O14,4,0)+IF(J10=O14,2,0)+IF(K10=O14,1,0)+IF(AND(L10=O14,L10&lt;&gt;""),1,0)+IF(B11=O14,25,0)+IF(C11=O14,18,0)+IF(D11=O14,15,0)+IF(E11=O14,12,0)+IF(F11=O14,10,0)+IF(G11=O14,8,0)+IF(H11=O14,6,0)+IF(I11=O14,4,0)+IF(J11=O14,2,0)+IF(K11=O14,1,0)+IF(AND(L11=O14,L11&lt;&gt;""),1,0)+IF(B12=O14,25,0)+IF(C12=O14,18,0)+IF(D12=O14,15,0)+IF(E12=O14,12,0)+IF(F12=O14,10,0)+IF(G12=O14,8,0)+IF(H12=O14,6,0)+IF(I12=O14,4,0)+IF(J12=O14,2,0)+IF(K12=O14,1,0)+IF(AND(L12=O14,L12&lt;&gt;""),1,0)+IF(B13=O14,25,0)+IF(C13=O14,18,0)+IF(D13=O14,15,0)+IF(E13=O14,12,0)+IF(F13=O14,10,0)+IF(G13=O14,8,0)+IF(H13=O14,6,0)+IF(I13=O14,4,0)+IF(J13=O14,2,0)+IF(K13=O14,1,0)+IF(AND(L13=O14,L13&lt;&gt;""),1,0)+IF(B14=O14,25,0)+IF(C14=O14,18,0)+IF(D14=O14,15,0)+IF(E14=O14,12,0)+IF(F14=O14,10,0)+IF(G14=O14,8,0)+IF(H14=O14,6,0)+IF(I14=O14,4,0)+IF(J14=O14,2,0)+IF(K14=O14,1,0)+IF(AND(L14=O14,L14&lt;&gt;""),1,0)+IF(B15=O14,25,0)+IF(C15=O14,18,0)+IF(D15=O14,15,0)+IF(E15=O14,12,0)+IF(F15=O14,10,0)+IF(G15=O14,8,0)+IF(H15=O14,6,0)+IF(I15=O14,4,0)+IF(J15=O14,2,0)+IF(K15=O14,1,0)+IF(AND(L15=O14,L15&lt;&gt;""),1,0)+IF(B16=O14,25,0)+IF(C16=O14,18,0)+IF(D16=O14,15,0)+IF(E16=O14,12,0)+IF(F16=O14,10,0)+IF(G16=O14,8,0)+IF(H16=O14,6,0)+IF(I16=O14,4,0)+IF(J16=O14,2,0)+IF(K16=O14,1,0)+IF(AND(L16=O14,L16&lt;&gt;""),1,0)+IF(B17=O14,25,0)+IF(C17=O14,18,0)+IF(D17=O14,15,0)+IF(E17=O14,12,0)+IF(F17=O14,10,0)+IF(G17=O14,8,0)+IF(H17=O14,6,0)+IF(I17=O14,4,0)+IF(J17=O14,2,0)+IF(K17=O14,1,0)+IF(AND(L17=O14,L17&lt;&gt;""),1,0)+IF(B18=O14,25,0)+IF(C18=O14,18,0)+IF(D18=O14,15,0)+IF(E18=O14,12,0)+IF(F18=O14,10,0)+IF(G18=O14,8,0)+IF(H18=O14,6,0)+IF(I18=O14,4,0)+IF(J18=O14,2,0)+IF(K18=O14,1,0)+IF(AND(L18=O14,L18&lt;&gt;""),1,0)+IF(B19=O14,25,0)+IF(C19=O14,18,0)+IF(D19=O14,15,0)+IF(E19=O14,12,0)+IF(F19=O14,10,0)+IF(G19=O14,8,0)+IF(H19=O14,6,0)+IF(I19=O14,4,0)+IF(J19=O14,2,0)+IF(K19=O14,1,0)+IF(AND(L19=O14,L19&lt;&gt;""),1,0)+IF(B20=O14,25,0)+IF(C20=O14,18,0)+IF(D20=O14,15,0)+IF(E20=O14,12,0)+IF(F20=O14,10,0)+IF(G20=O14,8,0)+IF(H20=O14,6,0)+IF(I20=O14,4,0)+IF(J20=O14,2,0)+IF(K20=O14,1,0)+IF(AND(L20=O14,L20&lt;&gt;""),1,0)+IF(B21=O14,25,0)+IF(C21=O14,18,0)+IF(D21=O14,15,0)+IF(E21=O14,12,0)+IF(F21=O14,10,0)+IF(G21=O14,8,0)+IF(H21=O14,6,0)+IF(I21=O14,4,0)+IF(J21=O14,2,0)+IF(K21=O14,1,0)+IF(AND(L21=O14,L21&lt;&gt;""),1,0)+IF(B22=O14,25,0)+IF(C22=O14,18,0)+IF(D22=O14,15,0)+IF(E22=O14,12,0)+IF(F22=O14,10,0)+IF(G22=O14,8,0)+IF(H22=O14,6,0)+IF(I22=O14,4,0)+IF(J22=O14,2,0)+IF(K22=O14,1,0)+IF(AND(L22=O14,L22&lt;&gt;""),1,0)+IF(B23=O14,25,0)+IF(C23=O14,18,0)+IF(D23=O14,15,0)+IF(E23=O14,12,0)+IF(F23=O14,10,0)+IF(G23=O14,8,0)+IF(H23=O14,6,0)+IF(I23=O14,4,0)+IF(J23=O14,2,0)+IF(K23=O14,1,0)+IF(AND(L23=O14,L23&lt;&gt;""),1,0)+IF(B24=O14,25,0)+IF(C24=O14,18,0)+IF(D24=O14,15,0)+IF(E24=O14,12,0)+IF(F24=O14,10,0)+IF(G24=O14,8,0)+IF(H24=O14,6,0)+IF(I24=O14,4,0)+IF(J24=O14,2,0)+IF(K24=O14,1,0)+IF(AND(L24=O14,L24&lt;&gt;""),1,0)+IF(B25=O14,25,0)+IF(C25=O14,18,0)+IF(D25=O14,15,0)+IF(E25=O14,12,0)+IF(F25=O14,10,0)+IF(G25=O14,8,0)+IF(H25=O14,6,0)+IF(I25=O14,4,0)+IF(J25=O14,2,0)+IF(K25=O14,1,0)+IF(AND(L25=O14,L25&lt;&gt;""),1,0)+IF(B26=O14,25,0)+IF(C26=O14,18,0)+IF(D26=O14,15,0)+IF(E26=O14,12,0)+IF(F26=O14,10,0)+IF(G26=O14,8,0)+IF(H26=O14,6,0)+IF(I26=O14,4,0)+IF(J26=O14,2,0)+IF(K26=O14,1,0)+IF(AND(L26=O14,L26&lt;&gt;""),1,0)+IF(B27=O14,25,0)+IF(C27=O14,18,0)+IF(D27=O14,15,0)+IF(E27=O14,12,0)+IF(F27=O14,10,0)+IF(G27=O14,8,0)+IF(H27=O14,6,0)+IF(I27=O14,4,0)+IF(J27=O14,2,0)+IF(K27=O14,1,0)+IF(AND(L27=O14,L27&lt;&gt;""),1,0)+IF(B28=O14,25,0)+IF(C28=O14,18,0)+IF(D28=O14,15,0)+IF(E28=O14,12,0)+IF(F28=O14,10,0)+IF(G28=O14,8,0)+IF(H28=O14,6,0)+IF(I28=O14,4,0)+IF(J28=O14,2,0)+IF(K28=O14,1,0)+IF(AND(L28=O14,L28&lt;&gt;""),1,0)+IF(B29=O14,25,0)+IF(C29=O14,18,0)+IF(D29=O14,15,0)+IF(E29=O14,12,0)+IF(F29=O14,10,0)+IF(G29=O14,8,0)+IF(H29=O14,6,0)+IF(I29=O14,4,0)+IF(J29=O14,2,0)+IF(K29=O14,1,0)+IF(AND(L29=O14,L29&lt;&gt;""),1,0),0)</f>
        <v>2</v>
      </c>
      <c r="S14" s="146" t="n">
        <f aca="false">Q14+R14</f>
        <v>12</v>
      </c>
      <c r="T14" s="8" t="n">
        <f aca="false">RANK(S14,S$6:S$27,0)</f>
        <v>10</v>
      </c>
    </row>
    <row r="15" customFormat="false" ht="14.25" hidden="false" customHeight="true" outlineLevel="0" collapsed="false">
      <c r="A15" s="9" t="s">
        <v>276</v>
      </c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O15" s="11" t="s">
        <v>62</v>
      </c>
      <c r="P15" s="11" t="str">
        <f aca="false">IFERROR(INDEX('Driver Bios'!$C$2:$C$23,MATCH(O15,'Driver Bios'!$B$2:$B$23,0)),"Red Bull Racing")</f>
        <v>Red Bull Racing</v>
      </c>
      <c r="Q15" s="10" t="n">
        <f aca="false">IFERROR(INDEX('Driver Standings'!$E$2:$E$23,MATCH(O15,'Driver Standings'!$B$2:$B$23,0)),0)</f>
        <v>4</v>
      </c>
      <c r="R15" s="10" t="n">
        <f aca="false">IFERROR(IF(B8=O15,25,0)+IF(C8=O15,18,0)+IF(D8=O15,15,0)+IF(E8=O15,12,0)+IF(F8=O15,10,0)+IF(G8=O15,8,0)+IF(H8=O15,6,0)+IF(I8=O15,4,0)+IF(J8=O15,2,0)+IF(K8=O15,1,0)+IF(AND(L8=O15,L8&lt;&gt;""),1,0)+IF(B9=O15,25,0)+IF(C9=O15,18,0)+IF(D9=O15,15,0)+IF(E9=O15,12,0)+IF(F9=O15,10,0)+IF(G9=O15,8,0)+IF(H9=O15,6,0)+IF(I9=O15,4,0)+IF(J9=O15,2,0)+IF(K9=O15,1,0)+IF(AND(L9=O15,L9&lt;&gt;""),1,0)+IF(B10=O15,25,0)+IF(C10=O15,18,0)+IF(D10=O15,15,0)+IF(E10=O15,12,0)+IF(F10=O15,10,0)+IF(G10=O15,8,0)+IF(H10=O15,6,0)+IF(I10=O15,4,0)+IF(J10=O15,2,0)+IF(K10=O15,1,0)+IF(AND(L10=O15,L10&lt;&gt;""),1,0)+IF(B11=O15,25,0)+IF(C11=O15,18,0)+IF(D11=O15,15,0)+IF(E11=O15,12,0)+IF(F11=O15,10,0)+IF(G11=O15,8,0)+IF(H11=O15,6,0)+IF(I11=O15,4,0)+IF(J11=O15,2,0)+IF(K11=O15,1,0)+IF(AND(L11=O15,L11&lt;&gt;""),1,0)+IF(B12=O15,25,0)+IF(C12=O15,18,0)+IF(D12=O15,15,0)+IF(E12=O15,12,0)+IF(F12=O15,10,0)+IF(G12=O15,8,0)+IF(H12=O15,6,0)+IF(I12=O15,4,0)+IF(J12=O15,2,0)+IF(K12=O15,1,0)+IF(AND(L12=O15,L12&lt;&gt;""),1,0)+IF(B13=O15,25,0)+IF(C13=O15,18,0)+IF(D13=O15,15,0)+IF(E13=O15,12,0)+IF(F13=O15,10,0)+IF(G13=O15,8,0)+IF(H13=O15,6,0)+IF(I13=O15,4,0)+IF(J13=O15,2,0)+IF(K13=O15,1,0)+IF(AND(L13=O15,L13&lt;&gt;""),1,0)+IF(B14=O15,25,0)+IF(C14=O15,18,0)+IF(D14=O15,15,0)+IF(E14=O15,12,0)+IF(F14=O15,10,0)+IF(G14=O15,8,0)+IF(H14=O15,6,0)+IF(I14=O15,4,0)+IF(J14=O15,2,0)+IF(K14=O15,1,0)+IF(AND(L14=O15,L14&lt;&gt;""),1,0)+IF(B15=O15,25,0)+IF(C15=O15,18,0)+IF(D15=O15,15,0)+IF(E15=O15,12,0)+IF(F15=O15,10,0)+IF(G15=O15,8,0)+IF(H15=O15,6,0)+IF(I15=O15,4,0)+IF(J15=O15,2,0)+IF(K15=O15,1,0)+IF(AND(L15=O15,L15&lt;&gt;""),1,0)+IF(B16=O15,25,0)+IF(C16=O15,18,0)+IF(D16=O15,15,0)+IF(E16=O15,12,0)+IF(F16=O15,10,0)+IF(G16=O15,8,0)+IF(H16=O15,6,0)+IF(I16=O15,4,0)+IF(J16=O15,2,0)+IF(K16=O15,1,0)+IF(AND(L16=O15,L16&lt;&gt;""),1,0)+IF(B17=O15,25,0)+IF(C17=O15,18,0)+IF(D17=O15,15,0)+IF(E17=O15,12,0)+IF(F17=O15,10,0)+IF(G17=O15,8,0)+IF(H17=O15,6,0)+IF(I17=O15,4,0)+IF(J17=O15,2,0)+IF(K17=O15,1,0)+IF(AND(L17=O15,L17&lt;&gt;""),1,0)+IF(B18=O15,25,0)+IF(C18=O15,18,0)+IF(D18=O15,15,0)+IF(E18=O15,12,0)+IF(F18=O15,10,0)+IF(G18=O15,8,0)+IF(H18=O15,6,0)+IF(I18=O15,4,0)+IF(J18=O15,2,0)+IF(K18=O15,1,0)+IF(AND(L18=O15,L18&lt;&gt;""),1,0)+IF(B19=O15,25,0)+IF(C19=O15,18,0)+IF(D19=O15,15,0)+IF(E19=O15,12,0)+IF(F19=O15,10,0)+IF(G19=O15,8,0)+IF(H19=O15,6,0)+IF(I19=O15,4,0)+IF(J19=O15,2,0)+IF(K19=O15,1,0)+IF(AND(L19=O15,L19&lt;&gt;""),1,0)+IF(B20=O15,25,0)+IF(C20=O15,18,0)+IF(D20=O15,15,0)+IF(E20=O15,12,0)+IF(F20=O15,10,0)+IF(G20=O15,8,0)+IF(H20=O15,6,0)+IF(I20=O15,4,0)+IF(J20=O15,2,0)+IF(K20=O15,1,0)+IF(AND(L20=O15,L20&lt;&gt;""),1,0)+IF(B21=O15,25,0)+IF(C21=O15,18,0)+IF(D21=O15,15,0)+IF(E21=O15,12,0)+IF(F21=O15,10,0)+IF(G21=O15,8,0)+IF(H21=O15,6,0)+IF(I21=O15,4,0)+IF(J21=O15,2,0)+IF(K21=O15,1,0)+IF(AND(L21=O15,L21&lt;&gt;""),1,0)+IF(B22=O15,25,0)+IF(C22=O15,18,0)+IF(D22=O15,15,0)+IF(E22=O15,12,0)+IF(F22=O15,10,0)+IF(G22=O15,8,0)+IF(H22=O15,6,0)+IF(I22=O15,4,0)+IF(J22=O15,2,0)+IF(K22=O15,1,0)+IF(AND(L22=O15,L22&lt;&gt;""),1,0)+IF(B23=O15,25,0)+IF(C23=O15,18,0)+IF(D23=O15,15,0)+IF(E23=O15,12,0)+IF(F23=O15,10,0)+IF(G23=O15,8,0)+IF(H23=O15,6,0)+IF(I23=O15,4,0)+IF(J23=O15,2,0)+IF(K23=O15,1,0)+IF(AND(L23=O15,L23&lt;&gt;""),1,0)+IF(B24=O15,25,0)+IF(C24=O15,18,0)+IF(D24=O15,15,0)+IF(E24=O15,12,0)+IF(F24=O15,10,0)+IF(G24=O15,8,0)+IF(H24=O15,6,0)+IF(I24=O15,4,0)+IF(J24=O15,2,0)+IF(K24=O15,1,0)+IF(AND(L24=O15,L24&lt;&gt;""),1,0)+IF(B25=O15,25,0)+IF(C25=O15,18,0)+IF(D25=O15,15,0)+IF(E25=O15,12,0)+IF(F25=O15,10,0)+IF(G25=O15,8,0)+IF(H25=O15,6,0)+IF(I25=O15,4,0)+IF(J25=O15,2,0)+IF(K25=O15,1,0)+IF(AND(L25=O15,L25&lt;&gt;""),1,0)+IF(B26=O15,25,0)+IF(C26=O15,18,0)+IF(D26=O15,15,0)+IF(E26=O15,12,0)+IF(F26=O15,10,0)+IF(G26=O15,8,0)+IF(H26=O15,6,0)+IF(I26=O15,4,0)+IF(J26=O15,2,0)+IF(K26=O15,1,0)+IF(AND(L26=O15,L26&lt;&gt;""),1,0)+IF(B27=O15,25,0)+IF(C27=O15,18,0)+IF(D27=O15,15,0)+IF(E27=O15,12,0)+IF(F27=O15,10,0)+IF(G27=O15,8,0)+IF(H27=O15,6,0)+IF(I27=O15,4,0)+IF(J27=O15,2,0)+IF(K27=O15,1,0)+IF(AND(L27=O15,L27&lt;&gt;""),1,0)+IF(B28=O15,25,0)+IF(C28=O15,18,0)+IF(D28=O15,15,0)+IF(E28=O15,12,0)+IF(F28=O15,10,0)+IF(G28=O15,8,0)+IF(H28=O15,6,0)+IF(I28=O15,4,0)+IF(J28=O15,2,0)+IF(K28=O15,1,0)+IF(AND(L28=O15,L28&lt;&gt;""),1,0)+IF(B29=O15,25,0)+IF(C29=O15,18,0)+IF(D29=O15,15,0)+IF(E29=O15,12,0)+IF(F29=O15,10,0)+IF(G29=O15,8,0)+IF(H29=O15,6,0)+IF(I29=O15,4,0)+IF(J29=O15,2,0)+IF(K29=O15,1,0)+IF(AND(L29=O15,L29&lt;&gt;""),1,0),0)</f>
        <v>0</v>
      </c>
      <c r="S15" s="147" t="n">
        <f aca="false">Q15+R15</f>
        <v>4</v>
      </c>
      <c r="T15" s="10" t="n">
        <f aca="false">RANK(S15,S$6:S$27,0)</f>
        <v>11</v>
      </c>
    </row>
    <row r="16" customFormat="false" ht="14.25" hidden="false" customHeight="true" outlineLevel="0" collapsed="false">
      <c r="A16" s="9" t="s">
        <v>281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O16" s="9" t="s">
        <v>55</v>
      </c>
      <c r="P16" s="9" t="str">
        <f aca="false">IFERROR(INDEX('Driver Bios'!$C$2:$C$23,MATCH(O16,'Driver Bios'!$B$2:$B$23,0)),"Racing Bulls")</f>
        <v>Racing Bulls</v>
      </c>
      <c r="Q16" s="8" t="n">
        <f aca="false">IFERROR(INDEX('Driver Standings'!$E$2:$E$23,MATCH(O16,'Driver Standings'!$B$2:$B$23,0)),0)</f>
        <v>4</v>
      </c>
      <c r="R16" s="8" t="n">
        <f aca="false">IFERROR(IF(B8=O16,25,0)+IF(C8=O16,18,0)+IF(D8=O16,15,0)+IF(E8=O16,12,0)+IF(F8=O16,10,0)+IF(G8=O16,8,0)+IF(H8=O16,6,0)+IF(I8=O16,4,0)+IF(J8=O16,2,0)+IF(K8=O16,1,0)+IF(AND(L8=O16,L8&lt;&gt;""),1,0)+IF(B9=O16,25,0)+IF(C9=O16,18,0)+IF(D9=O16,15,0)+IF(E9=O16,12,0)+IF(F9=O16,10,0)+IF(G9=O16,8,0)+IF(H9=O16,6,0)+IF(I9=O16,4,0)+IF(J9=O16,2,0)+IF(K9=O16,1,0)+IF(AND(L9=O16,L9&lt;&gt;""),1,0)+IF(B10=O16,25,0)+IF(C10=O16,18,0)+IF(D10=O16,15,0)+IF(E10=O16,12,0)+IF(F10=O16,10,0)+IF(G10=O16,8,0)+IF(H10=O16,6,0)+IF(I10=O16,4,0)+IF(J10=O16,2,0)+IF(K10=O16,1,0)+IF(AND(L10=O16,L10&lt;&gt;""),1,0)+IF(B11=O16,25,0)+IF(C11=O16,18,0)+IF(D11=O16,15,0)+IF(E11=O16,12,0)+IF(F11=O16,10,0)+IF(G11=O16,8,0)+IF(H11=O16,6,0)+IF(I11=O16,4,0)+IF(J11=O16,2,0)+IF(K11=O16,1,0)+IF(AND(L11=O16,L11&lt;&gt;""),1,0)+IF(B12=O16,25,0)+IF(C12=O16,18,0)+IF(D12=O16,15,0)+IF(E12=O16,12,0)+IF(F12=O16,10,0)+IF(G12=O16,8,0)+IF(H12=O16,6,0)+IF(I12=O16,4,0)+IF(J12=O16,2,0)+IF(K12=O16,1,0)+IF(AND(L12=O16,L12&lt;&gt;""),1,0)+IF(B13=O16,25,0)+IF(C13=O16,18,0)+IF(D13=O16,15,0)+IF(E13=O16,12,0)+IF(F13=O16,10,0)+IF(G13=O16,8,0)+IF(H13=O16,6,0)+IF(I13=O16,4,0)+IF(J13=O16,2,0)+IF(K13=O16,1,0)+IF(AND(L13=O16,L13&lt;&gt;""),1,0)+IF(B14=O16,25,0)+IF(C14=O16,18,0)+IF(D14=O16,15,0)+IF(E14=O16,12,0)+IF(F14=O16,10,0)+IF(G14=O16,8,0)+IF(H14=O16,6,0)+IF(I14=O16,4,0)+IF(J14=O16,2,0)+IF(K14=O16,1,0)+IF(AND(L14=O16,L14&lt;&gt;""),1,0)+IF(B15=O16,25,0)+IF(C15=O16,18,0)+IF(D15=O16,15,0)+IF(E15=O16,12,0)+IF(F15=O16,10,0)+IF(G15=O16,8,0)+IF(H15=O16,6,0)+IF(I15=O16,4,0)+IF(J15=O16,2,0)+IF(K15=O16,1,0)+IF(AND(L15=O16,L15&lt;&gt;""),1,0)+IF(B16=O16,25,0)+IF(C16=O16,18,0)+IF(D16=O16,15,0)+IF(E16=O16,12,0)+IF(F16=O16,10,0)+IF(G16=O16,8,0)+IF(H16=O16,6,0)+IF(I16=O16,4,0)+IF(J16=O16,2,0)+IF(K16=O16,1,0)+IF(AND(L16=O16,L16&lt;&gt;""),1,0)+IF(B17=O16,25,0)+IF(C17=O16,18,0)+IF(D17=O16,15,0)+IF(E17=O16,12,0)+IF(F17=O16,10,0)+IF(G17=O16,8,0)+IF(H17=O16,6,0)+IF(I17=O16,4,0)+IF(J17=O16,2,0)+IF(K17=O16,1,0)+IF(AND(L17=O16,L17&lt;&gt;""),1,0)+IF(B18=O16,25,0)+IF(C18=O16,18,0)+IF(D18=O16,15,0)+IF(E18=O16,12,0)+IF(F18=O16,10,0)+IF(G18=O16,8,0)+IF(H18=O16,6,0)+IF(I18=O16,4,0)+IF(J18=O16,2,0)+IF(K18=O16,1,0)+IF(AND(L18=O16,L18&lt;&gt;""),1,0)+IF(B19=O16,25,0)+IF(C19=O16,18,0)+IF(D19=O16,15,0)+IF(E19=O16,12,0)+IF(F19=O16,10,0)+IF(G19=O16,8,0)+IF(H19=O16,6,0)+IF(I19=O16,4,0)+IF(J19=O16,2,0)+IF(K19=O16,1,0)+IF(AND(L19=O16,L19&lt;&gt;""),1,0)+IF(B20=O16,25,0)+IF(C20=O16,18,0)+IF(D20=O16,15,0)+IF(E20=O16,12,0)+IF(F20=O16,10,0)+IF(G20=O16,8,0)+IF(H20=O16,6,0)+IF(I20=O16,4,0)+IF(J20=O16,2,0)+IF(K20=O16,1,0)+IF(AND(L20=O16,L20&lt;&gt;""),1,0)+IF(B21=O16,25,0)+IF(C21=O16,18,0)+IF(D21=O16,15,0)+IF(E21=O16,12,0)+IF(F21=O16,10,0)+IF(G21=O16,8,0)+IF(H21=O16,6,0)+IF(I21=O16,4,0)+IF(J21=O16,2,0)+IF(K21=O16,1,0)+IF(AND(L21=O16,L21&lt;&gt;""),1,0)+IF(B22=O16,25,0)+IF(C22=O16,18,0)+IF(D22=O16,15,0)+IF(E22=O16,12,0)+IF(F22=O16,10,0)+IF(G22=O16,8,0)+IF(H22=O16,6,0)+IF(I22=O16,4,0)+IF(J22=O16,2,0)+IF(K22=O16,1,0)+IF(AND(L22=O16,L22&lt;&gt;""),1,0)+IF(B23=O16,25,0)+IF(C23=O16,18,0)+IF(D23=O16,15,0)+IF(E23=O16,12,0)+IF(F23=O16,10,0)+IF(G23=O16,8,0)+IF(H23=O16,6,0)+IF(I23=O16,4,0)+IF(J23=O16,2,0)+IF(K23=O16,1,0)+IF(AND(L23=O16,L23&lt;&gt;""),1,0)+IF(B24=O16,25,0)+IF(C24=O16,18,0)+IF(D24=O16,15,0)+IF(E24=O16,12,0)+IF(F24=O16,10,0)+IF(G24=O16,8,0)+IF(H24=O16,6,0)+IF(I24=O16,4,0)+IF(J24=O16,2,0)+IF(K24=O16,1,0)+IF(AND(L24=O16,L24&lt;&gt;""),1,0)+IF(B25=O16,25,0)+IF(C25=O16,18,0)+IF(D25=O16,15,0)+IF(E25=O16,12,0)+IF(F25=O16,10,0)+IF(G25=O16,8,0)+IF(H25=O16,6,0)+IF(I25=O16,4,0)+IF(J25=O16,2,0)+IF(K25=O16,1,0)+IF(AND(L25=O16,L25&lt;&gt;""),1,0)+IF(B26=O16,25,0)+IF(C26=O16,18,0)+IF(D26=O16,15,0)+IF(E26=O16,12,0)+IF(F26=O16,10,0)+IF(G26=O16,8,0)+IF(H26=O16,6,0)+IF(I26=O16,4,0)+IF(J26=O16,2,0)+IF(K26=O16,1,0)+IF(AND(L26=O16,L26&lt;&gt;""),1,0)+IF(B27=O16,25,0)+IF(C27=O16,18,0)+IF(D27=O16,15,0)+IF(E27=O16,12,0)+IF(F27=O16,10,0)+IF(G27=O16,8,0)+IF(H27=O16,6,0)+IF(I27=O16,4,0)+IF(J27=O16,2,0)+IF(K27=O16,1,0)+IF(AND(L27=O16,L27&lt;&gt;""),1,0)+IF(B28=O16,25,0)+IF(C28=O16,18,0)+IF(D28=O16,15,0)+IF(E28=O16,12,0)+IF(F28=O16,10,0)+IF(G28=O16,8,0)+IF(H28=O16,6,0)+IF(I28=O16,4,0)+IF(J28=O16,2,0)+IF(K28=O16,1,0)+IF(AND(L28=O16,L28&lt;&gt;""),1,0)+IF(B29=O16,25,0)+IF(C29=O16,18,0)+IF(D29=O16,15,0)+IF(E29=O16,12,0)+IF(F29=O16,10,0)+IF(G29=O16,8,0)+IF(H29=O16,6,0)+IF(I29=O16,4,0)+IF(J29=O16,2,0)+IF(K29=O16,1,0)+IF(AND(L29=O16,L29&lt;&gt;""),1,0),0)</f>
        <v>0</v>
      </c>
      <c r="S16" s="146" t="n">
        <f aca="false">Q16+R16</f>
        <v>4</v>
      </c>
      <c r="T16" s="8" t="n">
        <f aca="false">RANK(S16,S$6:S$27,0)</f>
        <v>11</v>
      </c>
    </row>
    <row r="17" customFormat="false" ht="14.25" hidden="false" customHeight="true" outlineLevel="0" collapsed="false">
      <c r="A17" s="9" t="s">
        <v>85</v>
      </c>
      <c r="B17" s="148"/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O17" s="11" t="s">
        <v>68</v>
      </c>
      <c r="P17" s="11" t="str">
        <f aca="false">IFERROR(INDEX('Driver Bios'!$C$2:$C$23,MATCH(O17,'Driver Bios'!$B$2:$B$23,0)),"McLaren")</f>
        <v>McLaren</v>
      </c>
      <c r="Q17" s="10" t="n">
        <f aca="false">IFERROR(INDEX('Driver Standings'!$E$2:$E$23,MATCH(O17,'Driver Standings'!$B$2:$B$23,0)),0)</f>
        <v>21</v>
      </c>
      <c r="R17" s="10" t="n">
        <f aca="false">IFERROR(IF(B8=O17,25,0)+IF(C8=O17,18,0)+IF(D8=O17,15,0)+IF(E8=O17,12,0)+IF(F8=O17,10,0)+IF(G8=O17,8,0)+IF(H8=O17,6,0)+IF(I8=O17,4,0)+IF(J8=O17,2,0)+IF(K8=O17,1,0)+IF(AND(L8=O17,L8&lt;&gt;""),1,0)+IF(B9=O17,25,0)+IF(C9=O17,18,0)+IF(D9=O17,15,0)+IF(E9=O17,12,0)+IF(F9=O17,10,0)+IF(G9=O17,8,0)+IF(H9=O17,6,0)+IF(I9=O17,4,0)+IF(J9=O17,2,0)+IF(K9=O17,1,0)+IF(AND(L9=O17,L9&lt;&gt;""),1,0)+IF(B10=O17,25,0)+IF(C10=O17,18,0)+IF(D10=O17,15,0)+IF(E10=O17,12,0)+IF(F10=O17,10,0)+IF(G10=O17,8,0)+IF(H10=O17,6,0)+IF(I10=O17,4,0)+IF(J10=O17,2,0)+IF(K10=O17,1,0)+IF(AND(L10=O17,L10&lt;&gt;""),1,0)+IF(B11=O17,25,0)+IF(C11=O17,18,0)+IF(D11=O17,15,0)+IF(E11=O17,12,0)+IF(F11=O17,10,0)+IF(G11=O17,8,0)+IF(H11=O17,6,0)+IF(I11=O17,4,0)+IF(J11=O17,2,0)+IF(K11=O17,1,0)+IF(AND(L11=O17,L11&lt;&gt;""),1,0)+IF(B12=O17,25,0)+IF(C12=O17,18,0)+IF(D12=O17,15,0)+IF(E12=O17,12,0)+IF(F12=O17,10,0)+IF(G12=O17,8,0)+IF(H12=O17,6,0)+IF(I12=O17,4,0)+IF(J12=O17,2,0)+IF(K12=O17,1,0)+IF(AND(L12=O17,L12&lt;&gt;""),1,0)+IF(B13=O17,25,0)+IF(C13=O17,18,0)+IF(D13=O17,15,0)+IF(E13=O17,12,0)+IF(F13=O17,10,0)+IF(G13=O17,8,0)+IF(H13=O17,6,0)+IF(I13=O17,4,0)+IF(J13=O17,2,0)+IF(K13=O17,1,0)+IF(AND(L13=O17,L13&lt;&gt;""),1,0)+IF(B14=O17,25,0)+IF(C14=O17,18,0)+IF(D14=O17,15,0)+IF(E14=O17,12,0)+IF(F14=O17,10,0)+IF(G14=O17,8,0)+IF(H14=O17,6,0)+IF(I14=O17,4,0)+IF(J14=O17,2,0)+IF(K14=O17,1,0)+IF(AND(L14=O17,L14&lt;&gt;""),1,0)+IF(B15=O17,25,0)+IF(C15=O17,18,0)+IF(D15=O17,15,0)+IF(E15=O17,12,0)+IF(F15=O17,10,0)+IF(G15=O17,8,0)+IF(H15=O17,6,0)+IF(I15=O17,4,0)+IF(J15=O17,2,0)+IF(K15=O17,1,0)+IF(AND(L15=O17,L15&lt;&gt;""),1,0)+IF(B16=O17,25,0)+IF(C16=O17,18,0)+IF(D16=O17,15,0)+IF(E16=O17,12,0)+IF(F16=O17,10,0)+IF(G16=O17,8,0)+IF(H16=O17,6,0)+IF(I16=O17,4,0)+IF(J16=O17,2,0)+IF(K16=O17,1,0)+IF(AND(L16=O17,L16&lt;&gt;""),1,0)+IF(B17=O17,25,0)+IF(C17=O17,18,0)+IF(D17=O17,15,0)+IF(E17=O17,12,0)+IF(F17=O17,10,0)+IF(G17=O17,8,0)+IF(H17=O17,6,0)+IF(I17=O17,4,0)+IF(J17=O17,2,0)+IF(K17=O17,1,0)+IF(AND(L17=O17,L17&lt;&gt;""),1,0)+IF(B18=O17,25,0)+IF(C18=O17,18,0)+IF(D18=O17,15,0)+IF(E18=O17,12,0)+IF(F18=O17,10,0)+IF(G18=O17,8,0)+IF(H18=O17,6,0)+IF(I18=O17,4,0)+IF(J18=O17,2,0)+IF(K18=O17,1,0)+IF(AND(L18=O17,L18&lt;&gt;""),1,0)+IF(B19=O17,25,0)+IF(C19=O17,18,0)+IF(D19=O17,15,0)+IF(E19=O17,12,0)+IF(F19=O17,10,0)+IF(G19=O17,8,0)+IF(H19=O17,6,0)+IF(I19=O17,4,0)+IF(J19=O17,2,0)+IF(K19=O17,1,0)+IF(AND(L19=O17,L19&lt;&gt;""),1,0)+IF(B20=O17,25,0)+IF(C20=O17,18,0)+IF(D20=O17,15,0)+IF(E20=O17,12,0)+IF(F20=O17,10,0)+IF(G20=O17,8,0)+IF(H20=O17,6,0)+IF(I20=O17,4,0)+IF(J20=O17,2,0)+IF(K20=O17,1,0)+IF(AND(L20=O17,L20&lt;&gt;""),1,0)+IF(B21=O17,25,0)+IF(C21=O17,18,0)+IF(D21=O17,15,0)+IF(E21=O17,12,0)+IF(F21=O17,10,0)+IF(G21=O17,8,0)+IF(H21=O17,6,0)+IF(I21=O17,4,0)+IF(J21=O17,2,0)+IF(K21=O17,1,0)+IF(AND(L21=O17,L21&lt;&gt;""),1,0)+IF(B22=O17,25,0)+IF(C22=O17,18,0)+IF(D22=O17,15,0)+IF(E22=O17,12,0)+IF(F22=O17,10,0)+IF(G22=O17,8,0)+IF(H22=O17,6,0)+IF(I22=O17,4,0)+IF(J22=O17,2,0)+IF(K22=O17,1,0)+IF(AND(L22=O17,L22&lt;&gt;""),1,0)+IF(B23=O17,25,0)+IF(C23=O17,18,0)+IF(D23=O17,15,0)+IF(E23=O17,12,0)+IF(F23=O17,10,0)+IF(G23=O17,8,0)+IF(H23=O17,6,0)+IF(I23=O17,4,0)+IF(J23=O17,2,0)+IF(K23=O17,1,0)+IF(AND(L23=O17,L23&lt;&gt;""),1,0)+IF(B24=O17,25,0)+IF(C24=O17,18,0)+IF(D24=O17,15,0)+IF(E24=O17,12,0)+IF(F24=O17,10,0)+IF(G24=O17,8,0)+IF(H24=O17,6,0)+IF(I24=O17,4,0)+IF(J24=O17,2,0)+IF(K24=O17,1,0)+IF(AND(L24=O17,L24&lt;&gt;""),1,0)+IF(B25=O17,25,0)+IF(C25=O17,18,0)+IF(D25=O17,15,0)+IF(E25=O17,12,0)+IF(F25=O17,10,0)+IF(G25=O17,8,0)+IF(H25=O17,6,0)+IF(I25=O17,4,0)+IF(J25=O17,2,0)+IF(K25=O17,1,0)+IF(AND(L25=O17,L25&lt;&gt;""),1,0)+IF(B26=O17,25,0)+IF(C26=O17,18,0)+IF(D26=O17,15,0)+IF(E26=O17,12,0)+IF(F26=O17,10,0)+IF(G26=O17,8,0)+IF(H26=O17,6,0)+IF(I26=O17,4,0)+IF(J26=O17,2,0)+IF(K26=O17,1,0)+IF(AND(L26=O17,L26&lt;&gt;""),1,0)+IF(B27=O17,25,0)+IF(C27=O17,18,0)+IF(D27=O17,15,0)+IF(E27=O17,12,0)+IF(F27=O17,10,0)+IF(G27=O17,8,0)+IF(H27=O17,6,0)+IF(I27=O17,4,0)+IF(J27=O17,2,0)+IF(K27=O17,1,0)+IF(AND(L27=O17,L27&lt;&gt;""),1,0)+IF(B28=O17,25,0)+IF(C28=O17,18,0)+IF(D28=O17,15,0)+IF(E28=O17,12,0)+IF(F28=O17,10,0)+IF(G28=O17,8,0)+IF(H28=O17,6,0)+IF(I28=O17,4,0)+IF(J28=O17,2,0)+IF(K28=O17,1,0)+IF(AND(L28=O17,L28&lt;&gt;""),1,0)+IF(B29=O17,25,0)+IF(C29=O17,18,0)+IF(D29=O17,15,0)+IF(E29=O17,12,0)+IF(F29=O17,10,0)+IF(G29=O17,8,0)+IF(H29=O17,6,0)+IF(I29=O17,4,0)+IF(J29=O17,2,0)+IF(K29=O17,1,0)+IF(AND(L29=O17,L29&lt;&gt;""),1,0),0)</f>
        <v>18</v>
      </c>
      <c r="S17" s="147" t="n">
        <f aca="false">Q17+R17</f>
        <v>39</v>
      </c>
      <c r="T17" s="10" t="n">
        <f aca="false">RANK(S17,S$6:S$27,0)</f>
        <v>5</v>
      </c>
    </row>
    <row r="18" customFormat="false" ht="14.25" hidden="false" customHeight="true" outlineLevel="0" collapsed="false">
      <c r="A18" s="9" t="s">
        <v>291</v>
      </c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O18" s="9" t="s">
        <v>63</v>
      </c>
      <c r="P18" s="9" t="str">
        <f aca="false">IFERROR(INDEX('Driver Bios'!$C$2:$C$23,MATCH(O18,'Driver Bios'!$B$2:$B$23,0)),"Williams")</f>
        <v>Williams</v>
      </c>
      <c r="Q18" s="8" t="n">
        <f aca="false">IFERROR(INDEX('Driver Standings'!$E$2:$E$23,MATCH(O18,'Driver Standings'!$B$2:$B$23,0)),0)</f>
        <v>2</v>
      </c>
      <c r="R18" s="8" t="n">
        <f aca="false">IFERROR(IF(B8=O18,25,0)+IF(C8=O18,18,0)+IF(D8=O18,15,0)+IF(E8=O18,12,0)+IF(F8=O18,10,0)+IF(G8=O18,8,0)+IF(H8=O18,6,0)+IF(I8=O18,4,0)+IF(J8=O18,2,0)+IF(K8=O18,1,0)+IF(AND(L8=O18,L8&lt;&gt;""),1,0)+IF(B9=O18,25,0)+IF(C9=O18,18,0)+IF(D9=O18,15,0)+IF(E9=O18,12,0)+IF(F9=O18,10,0)+IF(G9=O18,8,0)+IF(H9=O18,6,0)+IF(I9=O18,4,0)+IF(J9=O18,2,0)+IF(K9=O18,1,0)+IF(AND(L9=O18,L9&lt;&gt;""),1,0)+IF(B10=O18,25,0)+IF(C10=O18,18,0)+IF(D10=O18,15,0)+IF(E10=O18,12,0)+IF(F10=O18,10,0)+IF(G10=O18,8,0)+IF(H10=O18,6,0)+IF(I10=O18,4,0)+IF(J10=O18,2,0)+IF(K10=O18,1,0)+IF(AND(L10=O18,L10&lt;&gt;""),1,0)+IF(B11=O18,25,0)+IF(C11=O18,18,0)+IF(D11=O18,15,0)+IF(E11=O18,12,0)+IF(F11=O18,10,0)+IF(G11=O18,8,0)+IF(H11=O18,6,0)+IF(I11=O18,4,0)+IF(J11=O18,2,0)+IF(K11=O18,1,0)+IF(AND(L11=O18,L11&lt;&gt;""),1,0)+IF(B12=O18,25,0)+IF(C12=O18,18,0)+IF(D12=O18,15,0)+IF(E12=O18,12,0)+IF(F12=O18,10,0)+IF(G12=O18,8,0)+IF(H12=O18,6,0)+IF(I12=O18,4,0)+IF(J12=O18,2,0)+IF(K12=O18,1,0)+IF(AND(L12=O18,L12&lt;&gt;""),1,0)+IF(B13=O18,25,0)+IF(C13=O18,18,0)+IF(D13=O18,15,0)+IF(E13=O18,12,0)+IF(F13=O18,10,0)+IF(G13=O18,8,0)+IF(H13=O18,6,0)+IF(I13=O18,4,0)+IF(J13=O18,2,0)+IF(K13=O18,1,0)+IF(AND(L13=O18,L13&lt;&gt;""),1,0)+IF(B14=O18,25,0)+IF(C14=O18,18,0)+IF(D14=O18,15,0)+IF(E14=O18,12,0)+IF(F14=O18,10,0)+IF(G14=O18,8,0)+IF(H14=O18,6,0)+IF(I14=O18,4,0)+IF(J14=O18,2,0)+IF(K14=O18,1,0)+IF(AND(L14=O18,L14&lt;&gt;""),1,0)+IF(B15=O18,25,0)+IF(C15=O18,18,0)+IF(D15=O18,15,0)+IF(E15=O18,12,0)+IF(F15=O18,10,0)+IF(G15=O18,8,0)+IF(H15=O18,6,0)+IF(I15=O18,4,0)+IF(J15=O18,2,0)+IF(K15=O18,1,0)+IF(AND(L15=O18,L15&lt;&gt;""),1,0)+IF(B16=O18,25,0)+IF(C16=O18,18,0)+IF(D16=O18,15,0)+IF(E16=O18,12,0)+IF(F16=O18,10,0)+IF(G16=O18,8,0)+IF(H16=O18,6,0)+IF(I16=O18,4,0)+IF(J16=O18,2,0)+IF(K16=O18,1,0)+IF(AND(L16=O18,L16&lt;&gt;""),1,0)+IF(B17=O18,25,0)+IF(C17=O18,18,0)+IF(D17=O18,15,0)+IF(E17=O18,12,0)+IF(F17=O18,10,0)+IF(G17=O18,8,0)+IF(H17=O18,6,0)+IF(I17=O18,4,0)+IF(J17=O18,2,0)+IF(K17=O18,1,0)+IF(AND(L17=O18,L17&lt;&gt;""),1,0)+IF(B18=O18,25,0)+IF(C18=O18,18,0)+IF(D18=O18,15,0)+IF(E18=O18,12,0)+IF(F18=O18,10,0)+IF(G18=O18,8,0)+IF(H18=O18,6,0)+IF(I18=O18,4,0)+IF(J18=O18,2,0)+IF(K18=O18,1,0)+IF(AND(L18=O18,L18&lt;&gt;""),1,0)+IF(B19=O18,25,0)+IF(C19=O18,18,0)+IF(D19=O18,15,0)+IF(E19=O18,12,0)+IF(F19=O18,10,0)+IF(G19=O18,8,0)+IF(H19=O18,6,0)+IF(I19=O18,4,0)+IF(J19=O18,2,0)+IF(K19=O18,1,0)+IF(AND(L19=O18,L19&lt;&gt;""),1,0)+IF(B20=O18,25,0)+IF(C20=O18,18,0)+IF(D20=O18,15,0)+IF(E20=O18,12,0)+IF(F20=O18,10,0)+IF(G20=O18,8,0)+IF(H20=O18,6,0)+IF(I20=O18,4,0)+IF(J20=O18,2,0)+IF(K20=O18,1,0)+IF(AND(L20=O18,L20&lt;&gt;""),1,0)+IF(B21=O18,25,0)+IF(C21=O18,18,0)+IF(D21=O18,15,0)+IF(E21=O18,12,0)+IF(F21=O18,10,0)+IF(G21=O18,8,0)+IF(H21=O18,6,0)+IF(I21=O18,4,0)+IF(J21=O18,2,0)+IF(K21=O18,1,0)+IF(AND(L21=O18,L21&lt;&gt;""),1,0)+IF(B22=O18,25,0)+IF(C22=O18,18,0)+IF(D22=O18,15,0)+IF(E22=O18,12,0)+IF(F22=O18,10,0)+IF(G22=O18,8,0)+IF(H22=O18,6,0)+IF(I22=O18,4,0)+IF(J22=O18,2,0)+IF(K22=O18,1,0)+IF(AND(L22=O18,L22&lt;&gt;""),1,0)+IF(B23=O18,25,0)+IF(C23=O18,18,0)+IF(D23=O18,15,0)+IF(E23=O18,12,0)+IF(F23=O18,10,0)+IF(G23=O18,8,0)+IF(H23=O18,6,0)+IF(I23=O18,4,0)+IF(J23=O18,2,0)+IF(K23=O18,1,0)+IF(AND(L23=O18,L23&lt;&gt;""),1,0)+IF(B24=O18,25,0)+IF(C24=O18,18,0)+IF(D24=O18,15,0)+IF(E24=O18,12,0)+IF(F24=O18,10,0)+IF(G24=O18,8,0)+IF(H24=O18,6,0)+IF(I24=O18,4,0)+IF(J24=O18,2,0)+IF(K24=O18,1,0)+IF(AND(L24=O18,L24&lt;&gt;""),1,0)+IF(B25=O18,25,0)+IF(C25=O18,18,0)+IF(D25=O18,15,0)+IF(E25=O18,12,0)+IF(F25=O18,10,0)+IF(G25=O18,8,0)+IF(H25=O18,6,0)+IF(I25=O18,4,0)+IF(J25=O18,2,0)+IF(K25=O18,1,0)+IF(AND(L25=O18,L25&lt;&gt;""),1,0)+IF(B26=O18,25,0)+IF(C26=O18,18,0)+IF(D26=O18,15,0)+IF(E26=O18,12,0)+IF(F26=O18,10,0)+IF(G26=O18,8,0)+IF(H26=O18,6,0)+IF(I26=O18,4,0)+IF(J26=O18,2,0)+IF(K26=O18,1,0)+IF(AND(L26=O18,L26&lt;&gt;""),1,0)+IF(B27=O18,25,0)+IF(C27=O18,18,0)+IF(D27=O18,15,0)+IF(E27=O18,12,0)+IF(F27=O18,10,0)+IF(G27=O18,8,0)+IF(H27=O18,6,0)+IF(I27=O18,4,0)+IF(J27=O18,2,0)+IF(K27=O18,1,0)+IF(AND(L27=O18,L27&lt;&gt;""),1,0)+IF(B28=O18,25,0)+IF(C28=O18,18,0)+IF(D28=O18,15,0)+IF(E28=O18,12,0)+IF(F28=O18,10,0)+IF(G28=O18,8,0)+IF(H28=O18,6,0)+IF(I28=O18,4,0)+IF(J28=O18,2,0)+IF(K28=O18,1,0)+IF(AND(L28=O18,L28&lt;&gt;""),1,0)+IF(B29=O18,25,0)+IF(C29=O18,18,0)+IF(D29=O18,15,0)+IF(E29=O18,12,0)+IF(F29=O18,10,0)+IF(G29=O18,8,0)+IF(H29=O18,6,0)+IF(I29=O18,4,0)+IF(J29=O18,2,0)+IF(K29=O18,1,0)+IF(AND(L29=O18,L29&lt;&gt;""),1,0),0)</f>
        <v>0</v>
      </c>
      <c r="S18" s="146" t="n">
        <f aca="false">Q18+R18</f>
        <v>2</v>
      </c>
      <c r="T18" s="8" t="n">
        <f aca="false">RANK(S18,S$6:S$27,0)</f>
        <v>13</v>
      </c>
    </row>
    <row r="19" customFormat="false" ht="14.25" hidden="false" customHeight="true" outlineLevel="0" collapsed="false">
      <c r="A19" s="9" t="s">
        <v>296</v>
      </c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O19" s="11" t="s">
        <v>56</v>
      </c>
      <c r="P19" s="11" t="str">
        <f aca="false">IFERROR(INDEX('Driver Bios'!$C$2:$C$23,MATCH(O19,'Driver Bios'!$B$2:$B$23,0)),"Audi")</f>
        <v>Audi</v>
      </c>
      <c r="Q19" s="10" t="n">
        <f aca="false">IFERROR(INDEX('Driver Standings'!$E$2:$E$23,MATCH(O19,'Driver Standings'!$B$2:$B$23,0)),0)</f>
        <v>2</v>
      </c>
      <c r="R19" s="10" t="n">
        <f aca="false">IFERROR(IF(B8=O19,25,0)+IF(C8=O19,18,0)+IF(D8=O19,15,0)+IF(E8=O19,12,0)+IF(F8=O19,10,0)+IF(G8=O19,8,0)+IF(H8=O19,6,0)+IF(I8=O19,4,0)+IF(J8=O19,2,0)+IF(K8=O19,1,0)+IF(AND(L8=O19,L8&lt;&gt;""),1,0)+IF(B9=O19,25,0)+IF(C9=O19,18,0)+IF(D9=O19,15,0)+IF(E9=O19,12,0)+IF(F9=O19,10,0)+IF(G9=O19,8,0)+IF(H9=O19,6,0)+IF(I9=O19,4,0)+IF(J9=O19,2,0)+IF(K9=O19,1,0)+IF(AND(L9=O19,L9&lt;&gt;""),1,0)+IF(B10=O19,25,0)+IF(C10=O19,18,0)+IF(D10=O19,15,0)+IF(E10=O19,12,0)+IF(F10=O19,10,0)+IF(G10=O19,8,0)+IF(H10=O19,6,0)+IF(I10=O19,4,0)+IF(J10=O19,2,0)+IF(K10=O19,1,0)+IF(AND(L10=O19,L10&lt;&gt;""),1,0)+IF(B11=O19,25,0)+IF(C11=O19,18,0)+IF(D11=O19,15,0)+IF(E11=O19,12,0)+IF(F11=O19,10,0)+IF(G11=O19,8,0)+IF(H11=O19,6,0)+IF(I11=O19,4,0)+IF(J11=O19,2,0)+IF(K11=O19,1,0)+IF(AND(L11=O19,L11&lt;&gt;""),1,0)+IF(B12=O19,25,0)+IF(C12=O19,18,0)+IF(D12=O19,15,0)+IF(E12=O19,12,0)+IF(F12=O19,10,0)+IF(G12=O19,8,0)+IF(H12=O19,6,0)+IF(I12=O19,4,0)+IF(J12=O19,2,0)+IF(K12=O19,1,0)+IF(AND(L12=O19,L12&lt;&gt;""),1,0)+IF(B13=O19,25,0)+IF(C13=O19,18,0)+IF(D13=O19,15,0)+IF(E13=O19,12,0)+IF(F13=O19,10,0)+IF(G13=O19,8,0)+IF(H13=O19,6,0)+IF(I13=O19,4,0)+IF(J13=O19,2,0)+IF(K13=O19,1,0)+IF(AND(L13=O19,L13&lt;&gt;""),1,0)+IF(B14=O19,25,0)+IF(C14=O19,18,0)+IF(D14=O19,15,0)+IF(E14=O19,12,0)+IF(F14=O19,10,0)+IF(G14=O19,8,0)+IF(H14=O19,6,0)+IF(I14=O19,4,0)+IF(J14=O19,2,0)+IF(K14=O19,1,0)+IF(AND(L14=O19,L14&lt;&gt;""),1,0)+IF(B15=O19,25,0)+IF(C15=O19,18,0)+IF(D15=O19,15,0)+IF(E15=O19,12,0)+IF(F15=O19,10,0)+IF(G15=O19,8,0)+IF(H15=O19,6,0)+IF(I15=O19,4,0)+IF(J15=O19,2,0)+IF(K15=O19,1,0)+IF(AND(L15=O19,L15&lt;&gt;""),1,0)+IF(B16=O19,25,0)+IF(C16=O19,18,0)+IF(D16=O19,15,0)+IF(E16=O19,12,0)+IF(F16=O19,10,0)+IF(G16=O19,8,0)+IF(H16=O19,6,0)+IF(I16=O19,4,0)+IF(J16=O19,2,0)+IF(K16=O19,1,0)+IF(AND(L16=O19,L16&lt;&gt;""),1,0)+IF(B17=O19,25,0)+IF(C17=O19,18,0)+IF(D17=O19,15,0)+IF(E17=O19,12,0)+IF(F17=O19,10,0)+IF(G17=O19,8,0)+IF(H17=O19,6,0)+IF(I17=O19,4,0)+IF(J17=O19,2,0)+IF(K17=O19,1,0)+IF(AND(L17=O19,L17&lt;&gt;""),1,0)+IF(B18=O19,25,0)+IF(C18=O19,18,0)+IF(D18=O19,15,0)+IF(E18=O19,12,0)+IF(F18=O19,10,0)+IF(G18=O19,8,0)+IF(H18=O19,6,0)+IF(I18=O19,4,0)+IF(J18=O19,2,0)+IF(K18=O19,1,0)+IF(AND(L18=O19,L18&lt;&gt;""),1,0)+IF(B19=O19,25,0)+IF(C19=O19,18,0)+IF(D19=O19,15,0)+IF(E19=O19,12,0)+IF(F19=O19,10,0)+IF(G19=O19,8,0)+IF(H19=O19,6,0)+IF(I19=O19,4,0)+IF(J19=O19,2,0)+IF(K19=O19,1,0)+IF(AND(L19=O19,L19&lt;&gt;""),1,0)+IF(B20=O19,25,0)+IF(C20=O19,18,0)+IF(D20=O19,15,0)+IF(E20=O19,12,0)+IF(F20=O19,10,0)+IF(G20=O19,8,0)+IF(H20=O19,6,0)+IF(I20=O19,4,0)+IF(J20=O19,2,0)+IF(K20=O19,1,0)+IF(AND(L20=O19,L20&lt;&gt;""),1,0)+IF(B21=O19,25,0)+IF(C21=O19,18,0)+IF(D21=O19,15,0)+IF(E21=O19,12,0)+IF(F21=O19,10,0)+IF(G21=O19,8,0)+IF(H21=O19,6,0)+IF(I21=O19,4,0)+IF(J21=O19,2,0)+IF(K21=O19,1,0)+IF(AND(L21=O19,L21&lt;&gt;""),1,0)+IF(B22=O19,25,0)+IF(C22=O19,18,0)+IF(D22=O19,15,0)+IF(E22=O19,12,0)+IF(F22=O19,10,0)+IF(G22=O19,8,0)+IF(H22=O19,6,0)+IF(I22=O19,4,0)+IF(J22=O19,2,0)+IF(K22=O19,1,0)+IF(AND(L22=O19,L22&lt;&gt;""),1,0)+IF(B23=O19,25,0)+IF(C23=O19,18,0)+IF(D23=O19,15,0)+IF(E23=O19,12,0)+IF(F23=O19,10,0)+IF(G23=O19,8,0)+IF(H23=O19,6,0)+IF(I23=O19,4,0)+IF(J23=O19,2,0)+IF(K23=O19,1,0)+IF(AND(L23=O19,L23&lt;&gt;""),1,0)+IF(B24=O19,25,0)+IF(C24=O19,18,0)+IF(D24=O19,15,0)+IF(E24=O19,12,0)+IF(F24=O19,10,0)+IF(G24=O19,8,0)+IF(H24=O19,6,0)+IF(I24=O19,4,0)+IF(J24=O19,2,0)+IF(K24=O19,1,0)+IF(AND(L24=O19,L24&lt;&gt;""),1,0)+IF(B25=O19,25,0)+IF(C25=O19,18,0)+IF(D25=O19,15,0)+IF(E25=O19,12,0)+IF(F25=O19,10,0)+IF(G25=O19,8,0)+IF(H25=O19,6,0)+IF(I25=O19,4,0)+IF(J25=O19,2,0)+IF(K25=O19,1,0)+IF(AND(L25=O19,L25&lt;&gt;""),1,0)+IF(B26=O19,25,0)+IF(C26=O19,18,0)+IF(D26=O19,15,0)+IF(E26=O19,12,0)+IF(F26=O19,10,0)+IF(G26=O19,8,0)+IF(H26=O19,6,0)+IF(I26=O19,4,0)+IF(J26=O19,2,0)+IF(K26=O19,1,0)+IF(AND(L26=O19,L26&lt;&gt;""),1,0)+IF(B27=O19,25,0)+IF(C27=O19,18,0)+IF(D27=O19,15,0)+IF(E27=O19,12,0)+IF(F27=O19,10,0)+IF(G27=O19,8,0)+IF(H27=O19,6,0)+IF(I27=O19,4,0)+IF(J27=O19,2,0)+IF(K27=O19,1,0)+IF(AND(L27=O19,L27&lt;&gt;""),1,0)+IF(B28=O19,25,0)+IF(C28=O19,18,0)+IF(D28=O19,15,0)+IF(E28=O19,12,0)+IF(F28=O19,10,0)+IF(G28=O19,8,0)+IF(H28=O19,6,0)+IF(I28=O19,4,0)+IF(J28=O19,2,0)+IF(K28=O19,1,0)+IF(AND(L28=O19,L28&lt;&gt;""),1,0)+IF(B29=O19,25,0)+IF(C29=O19,18,0)+IF(D29=O19,15,0)+IF(E29=O19,12,0)+IF(F29=O19,10,0)+IF(G29=O19,8,0)+IF(H29=O19,6,0)+IF(I29=O19,4,0)+IF(J29=O19,2,0)+IF(K29=O19,1,0)+IF(AND(L29=O19,L29&lt;&gt;""),1,0),0)</f>
        <v>0</v>
      </c>
      <c r="S19" s="147" t="n">
        <f aca="false">Q19+R19</f>
        <v>2</v>
      </c>
      <c r="T19" s="10" t="n">
        <f aca="false">RANK(S19,S$6:S$27,0)</f>
        <v>13</v>
      </c>
    </row>
    <row r="20" customFormat="false" ht="14.25" hidden="false" customHeight="true" outlineLevel="0" collapsed="false">
      <c r="A20" s="9" t="s">
        <v>86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O20" s="9" t="s">
        <v>64</v>
      </c>
      <c r="P20" s="9" t="str">
        <f aca="false">IFERROR(INDEX('Driver Bios'!$C$2:$C$23,MATCH(O20,'Driver Bios'!$B$2:$B$23,0)),"Alpine")</f>
        <v>Alpine</v>
      </c>
      <c r="Q20" s="8" t="n">
        <f aca="false">IFERROR(INDEX('Driver Standings'!$E$2:$E$23,MATCH(O20,'Driver Standings'!$B$2:$B$23,0)),0)</f>
        <v>1</v>
      </c>
      <c r="R20" s="8" t="n">
        <f aca="false">IFERROR(IF(B8=O20,25,0)+IF(C8=O20,18,0)+IF(D8=O20,15,0)+IF(E8=O20,12,0)+IF(F8=O20,10,0)+IF(G8=O20,8,0)+IF(H8=O20,6,0)+IF(I8=O20,4,0)+IF(J8=O20,2,0)+IF(K8=O20,1,0)+IF(AND(L8=O20,L8&lt;&gt;""),1,0)+IF(B9=O20,25,0)+IF(C9=O20,18,0)+IF(D9=O20,15,0)+IF(E9=O20,12,0)+IF(F9=O20,10,0)+IF(G9=O20,8,0)+IF(H9=O20,6,0)+IF(I9=O20,4,0)+IF(J9=O20,2,0)+IF(K9=O20,1,0)+IF(AND(L9=O20,L9&lt;&gt;""),1,0)+IF(B10=O20,25,0)+IF(C10=O20,18,0)+IF(D10=O20,15,0)+IF(E10=O20,12,0)+IF(F10=O20,10,0)+IF(G10=O20,8,0)+IF(H10=O20,6,0)+IF(I10=O20,4,0)+IF(J10=O20,2,0)+IF(K10=O20,1,0)+IF(AND(L10=O20,L10&lt;&gt;""),1,0)+IF(B11=O20,25,0)+IF(C11=O20,18,0)+IF(D11=O20,15,0)+IF(E11=O20,12,0)+IF(F11=O20,10,0)+IF(G11=O20,8,0)+IF(H11=O20,6,0)+IF(I11=O20,4,0)+IF(J11=O20,2,0)+IF(K11=O20,1,0)+IF(AND(L11=O20,L11&lt;&gt;""),1,0)+IF(B12=O20,25,0)+IF(C12=O20,18,0)+IF(D12=O20,15,0)+IF(E12=O20,12,0)+IF(F12=O20,10,0)+IF(G12=O20,8,0)+IF(H12=O20,6,0)+IF(I12=O20,4,0)+IF(J12=O20,2,0)+IF(K12=O20,1,0)+IF(AND(L12=O20,L12&lt;&gt;""),1,0)+IF(B13=O20,25,0)+IF(C13=O20,18,0)+IF(D13=O20,15,0)+IF(E13=O20,12,0)+IF(F13=O20,10,0)+IF(G13=O20,8,0)+IF(H13=O20,6,0)+IF(I13=O20,4,0)+IF(J13=O20,2,0)+IF(K13=O20,1,0)+IF(AND(L13=O20,L13&lt;&gt;""),1,0)+IF(B14=O20,25,0)+IF(C14=O20,18,0)+IF(D14=O20,15,0)+IF(E14=O20,12,0)+IF(F14=O20,10,0)+IF(G14=O20,8,0)+IF(H14=O20,6,0)+IF(I14=O20,4,0)+IF(J14=O20,2,0)+IF(K14=O20,1,0)+IF(AND(L14=O20,L14&lt;&gt;""),1,0)+IF(B15=O20,25,0)+IF(C15=O20,18,0)+IF(D15=O20,15,0)+IF(E15=O20,12,0)+IF(F15=O20,10,0)+IF(G15=O20,8,0)+IF(H15=O20,6,0)+IF(I15=O20,4,0)+IF(J15=O20,2,0)+IF(K15=O20,1,0)+IF(AND(L15=O20,L15&lt;&gt;""),1,0)+IF(B16=O20,25,0)+IF(C16=O20,18,0)+IF(D16=O20,15,0)+IF(E16=O20,12,0)+IF(F16=O20,10,0)+IF(G16=O20,8,0)+IF(H16=O20,6,0)+IF(I16=O20,4,0)+IF(J16=O20,2,0)+IF(K16=O20,1,0)+IF(AND(L16=O20,L16&lt;&gt;""),1,0)+IF(B17=O20,25,0)+IF(C17=O20,18,0)+IF(D17=O20,15,0)+IF(E17=O20,12,0)+IF(F17=O20,10,0)+IF(G17=O20,8,0)+IF(H17=O20,6,0)+IF(I17=O20,4,0)+IF(J17=O20,2,0)+IF(K17=O20,1,0)+IF(AND(L17=O20,L17&lt;&gt;""),1,0)+IF(B18=O20,25,0)+IF(C18=O20,18,0)+IF(D18=O20,15,0)+IF(E18=O20,12,0)+IF(F18=O20,10,0)+IF(G18=O20,8,0)+IF(H18=O20,6,0)+IF(I18=O20,4,0)+IF(J18=O20,2,0)+IF(K18=O20,1,0)+IF(AND(L18=O20,L18&lt;&gt;""),1,0)+IF(B19=O20,25,0)+IF(C19=O20,18,0)+IF(D19=O20,15,0)+IF(E19=O20,12,0)+IF(F19=O20,10,0)+IF(G19=O20,8,0)+IF(H19=O20,6,0)+IF(I19=O20,4,0)+IF(J19=O20,2,0)+IF(K19=O20,1,0)+IF(AND(L19=O20,L19&lt;&gt;""),1,0)+IF(B20=O20,25,0)+IF(C20=O20,18,0)+IF(D20=O20,15,0)+IF(E20=O20,12,0)+IF(F20=O20,10,0)+IF(G20=O20,8,0)+IF(H20=O20,6,0)+IF(I20=O20,4,0)+IF(J20=O20,2,0)+IF(K20=O20,1,0)+IF(AND(L20=O20,L20&lt;&gt;""),1,0)+IF(B21=O20,25,0)+IF(C21=O20,18,0)+IF(D21=O20,15,0)+IF(E21=O20,12,0)+IF(F21=O20,10,0)+IF(G21=O20,8,0)+IF(H21=O20,6,0)+IF(I21=O20,4,0)+IF(J21=O20,2,0)+IF(K21=O20,1,0)+IF(AND(L21=O20,L21&lt;&gt;""),1,0)+IF(B22=O20,25,0)+IF(C22=O20,18,0)+IF(D22=O20,15,0)+IF(E22=O20,12,0)+IF(F22=O20,10,0)+IF(G22=O20,8,0)+IF(H22=O20,6,0)+IF(I22=O20,4,0)+IF(J22=O20,2,0)+IF(K22=O20,1,0)+IF(AND(L22=O20,L22&lt;&gt;""),1,0)+IF(B23=O20,25,0)+IF(C23=O20,18,0)+IF(D23=O20,15,0)+IF(E23=O20,12,0)+IF(F23=O20,10,0)+IF(G23=O20,8,0)+IF(H23=O20,6,0)+IF(I23=O20,4,0)+IF(J23=O20,2,0)+IF(K23=O20,1,0)+IF(AND(L23=O20,L23&lt;&gt;""),1,0)+IF(B24=O20,25,0)+IF(C24=O20,18,0)+IF(D24=O20,15,0)+IF(E24=O20,12,0)+IF(F24=O20,10,0)+IF(G24=O20,8,0)+IF(H24=O20,6,0)+IF(I24=O20,4,0)+IF(J24=O20,2,0)+IF(K24=O20,1,0)+IF(AND(L24=O20,L24&lt;&gt;""),1,0)+IF(B25=O20,25,0)+IF(C25=O20,18,0)+IF(D25=O20,15,0)+IF(E25=O20,12,0)+IF(F25=O20,10,0)+IF(G25=O20,8,0)+IF(H25=O20,6,0)+IF(I25=O20,4,0)+IF(J25=O20,2,0)+IF(K25=O20,1,0)+IF(AND(L25=O20,L25&lt;&gt;""),1,0)+IF(B26=O20,25,0)+IF(C26=O20,18,0)+IF(D26=O20,15,0)+IF(E26=O20,12,0)+IF(F26=O20,10,0)+IF(G26=O20,8,0)+IF(H26=O20,6,0)+IF(I26=O20,4,0)+IF(J26=O20,2,0)+IF(K26=O20,1,0)+IF(AND(L26=O20,L26&lt;&gt;""),1,0)+IF(B27=O20,25,0)+IF(C27=O20,18,0)+IF(D27=O20,15,0)+IF(E27=O20,12,0)+IF(F27=O20,10,0)+IF(G27=O20,8,0)+IF(H27=O20,6,0)+IF(I27=O20,4,0)+IF(J27=O20,2,0)+IF(K27=O20,1,0)+IF(AND(L27=O20,L27&lt;&gt;""),1,0)+IF(B28=O20,25,0)+IF(C28=O20,18,0)+IF(D28=O20,15,0)+IF(E28=O20,12,0)+IF(F28=O20,10,0)+IF(G28=O20,8,0)+IF(H28=O20,6,0)+IF(I28=O20,4,0)+IF(J28=O20,2,0)+IF(K28=O20,1,0)+IF(AND(L28=O20,L28&lt;&gt;""),1,0)+IF(B29=O20,25,0)+IF(C29=O20,18,0)+IF(D29=O20,15,0)+IF(E29=O20,12,0)+IF(F29=O20,10,0)+IF(G29=O20,8,0)+IF(H29=O20,6,0)+IF(I29=O20,4,0)+IF(J29=O20,2,0)+IF(K29=O20,1,0)+IF(AND(L29=O20,L29&lt;&gt;""),1,0),0)</f>
        <v>0</v>
      </c>
      <c r="S20" s="146" t="n">
        <f aca="false">Q20+R20</f>
        <v>1</v>
      </c>
      <c r="T20" s="8" t="n">
        <f aca="false">RANK(S20,S$6:S$27,0)</f>
        <v>16</v>
      </c>
    </row>
    <row r="21" customFormat="false" ht="14.25" hidden="false" customHeight="true" outlineLevel="0" collapsed="false">
      <c r="A21" s="9" t="s">
        <v>305</v>
      </c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O21" s="11" t="s">
        <v>111</v>
      </c>
      <c r="P21" s="11" t="str">
        <f aca="false">IFERROR(INDEX('Driver Bios'!$C$2:$C$23,MATCH(O21,'Driver Bios'!$B$2:$B$23,0)),"Aston Martin")</f>
        <v>Aston Martin</v>
      </c>
      <c r="Q21" s="10" t="n">
        <f aca="false">IFERROR(INDEX('Driver Standings'!$E$2:$E$23,MATCH(O21,'Driver Standings'!$B$2:$B$23,0)),0)</f>
        <v>0</v>
      </c>
      <c r="R21" s="10" t="n">
        <f aca="false">IFERROR(IF(B8=O21,25,0)+IF(C8=O21,18,0)+IF(D8=O21,15,0)+IF(E8=O21,12,0)+IF(F8=O21,10,0)+IF(G8=O21,8,0)+IF(H8=O21,6,0)+IF(I8=O21,4,0)+IF(J8=O21,2,0)+IF(K8=O21,1,0)+IF(AND(L8=O21,L8&lt;&gt;""),1,0)+IF(B9=O21,25,0)+IF(C9=O21,18,0)+IF(D9=O21,15,0)+IF(E9=O21,12,0)+IF(F9=O21,10,0)+IF(G9=O21,8,0)+IF(H9=O21,6,0)+IF(I9=O21,4,0)+IF(J9=O21,2,0)+IF(K9=O21,1,0)+IF(AND(L9=O21,L9&lt;&gt;""),1,0)+IF(B10=O21,25,0)+IF(C10=O21,18,0)+IF(D10=O21,15,0)+IF(E10=O21,12,0)+IF(F10=O21,10,0)+IF(G10=O21,8,0)+IF(H10=O21,6,0)+IF(I10=O21,4,0)+IF(J10=O21,2,0)+IF(K10=O21,1,0)+IF(AND(L10=O21,L10&lt;&gt;""),1,0)+IF(B11=O21,25,0)+IF(C11=O21,18,0)+IF(D11=O21,15,0)+IF(E11=O21,12,0)+IF(F11=O21,10,0)+IF(G11=O21,8,0)+IF(H11=O21,6,0)+IF(I11=O21,4,0)+IF(J11=O21,2,0)+IF(K11=O21,1,0)+IF(AND(L11=O21,L11&lt;&gt;""),1,0)+IF(B12=O21,25,0)+IF(C12=O21,18,0)+IF(D12=O21,15,0)+IF(E12=O21,12,0)+IF(F12=O21,10,0)+IF(G12=O21,8,0)+IF(H12=O21,6,0)+IF(I12=O21,4,0)+IF(J12=O21,2,0)+IF(K12=O21,1,0)+IF(AND(L12=O21,L12&lt;&gt;""),1,0)+IF(B13=O21,25,0)+IF(C13=O21,18,0)+IF(D13=O21,15,0)+IF(E13=O21,12,0)+IF(F13=O21,10,0)+IF(G13=O21,8,0)+IF(H13=O21,6,0)+IF(I13=O21,4,0)+IF(J13=O21,2,0)+IF(K13=O21,1,0)+IF(AND(L13=O21,L13&lt;&gt;""),1,0)+IF(B14=O21,25,0)+IF(C14=O21,18,0)+IF(D14=O21,15,0)+IF(E14=O21,12,0)+IF(F14=O21,10,0)+IF(G14=O21,8,0)+IF(H14=O21,6,0)+IF(I14=O21,4,0)+IF(J14=O21,2,0)+IF(K14=O21,1,0)+IF(AND(L14=O21,L14&lt;&gt;""),1,0)+IF(B15=O21,25,0)+IF(C15=O21,18,0)+IF(D15=O21,15,0)+IF(E15=O21,12,0)+IF(F15=O21,10,0)+IF(G15=O21,8,0)+IF(H15=O21,6,0)+IF(I15=O21,4,0)+IF(J15=O21,2,0)+IF(K15=O21,1,0)+IF(AND(L15=O21,L15&lt;&gt;""),1,0)+IF(B16=O21,25,0)+IF(C16=O21,18,0)+IF(D16=O21,15,0)+IF(E16=O21,12,0)+IF(F16=O21,10,0)+IF(G16=O21,8,0)+IF(H16=O21,6,0)+IF(I16=O21,4,0)+IF(J16=O21,2,0)+IF(K16=O21,1,0)+IF(AND(L16=O21,L16&lt;&gt;""),1,0)+IF(B17=O21,25,0)+IF(C17=O21,18,0)+IF(D17=O21,15,0)+IF(E17=O21,12,0)+IF(F17=O21,10,0)+IF(G17=O21,8,0)+IF(H17=O21,6,0)+IF(I17=O21,4,0)+IF(J17=O21,2,0)+IF(K17=O21,1,0)+IF(AND(L17=O21,L17&lt;&gt;""),1,0)+IF(B18=O21,25,0)+IF(C18=O21,18,0)+IF(D18=O21,15,0)+IF(E18=O21,12,0)+IF(F18=O21,10,0)+IF(G18=O21,8,0)+IF(H18=O21,6,0)+IF(I18=O21,4,0)+IF(J18=O21,2,0)+IF(K18=O21,1,0)+IF(AND(L18=O21,L18&lt;&gt;""),1,0)+IF(B19=O21,25,0)+IF(C19=O21,18,0)+IF(D19=O21,15,0)+IF(E19=O21,12,0)+IF(F19=O21,10,0)+IF(G19=O21,8,0)+IF(H19=O21,6,0)+IF(I19=O21,4,0)+IF(J19=O21,2,0)+IF(K19=O21,1,0)+IF(AND(L19=O21,L19&lt;&gt;""),1,0)+IF(B20=O21,25,0)+IF(C20=O21,18,0)+IF(D20=O21,15,0)+IF(E20=O21,12,0)+IF(F20=O21,10,0)+IF(G20=O21,8,0)+IF(H20=O21,6,0)+IF(I20=O21,4,0)+IF(J20=O21,2,0)+IF(K20=O21,1,0)+IF(AND(L20=O21,L20&lt;&gt;""),1,0)+IF(B21=O21,25,0)+IF(C21=O21,18,0)+IF(D21=O21,15,0)+IF(E21=O21,12,0)+IF(F21=O21,10,0)+IF(G21=O21,8,0)+IF(H21=O21,6,0)+IF(I21=O21,4,0)+IF(J21=O21,2,0)+IF(K21=O21,1,0)+IF(AND(L21=O21,L21&lt;&gt;""),1,0)+IF(B22=O21,25,0)+IF(C22=O21,18,0)+IF(D22=O21,15,0)+IF(E22=O21,12,0)+IF(F22=O21,10,0)+IF(G22=O21,8,0)+IF(H22=O21,6,0)+IF(I22=O21,4,0)+IF(J22=O21,2,0)+IF(K22=O21,1,0)+IF(AND(L22=O21,L22&lt;&gt;""),1,0)+IF(B23=O21,25,0)+IF(C23=O21,18,0)+IF(D23=O21,15,0)+IF(E23=O21,12,0)+IF(F23=O21,10,0)+IF(G23=O21,8,0)+IF(H23=O21,6,0)+IF(I23=O21,4,0)+IF(J23=O21,2,0)+IF(K23=O21,1,0)+IF(AND(L23=O21,L23&lt;&gt;""),1,0)+IF(B24=O21,25,0)+IF(C24=O21,18,0)+IF(D24=O21,15,0)+IF(E24=O21,12,0)+IF(F24=O21,10,0)+IF(G24=O21,8,0)+IF(H24=O21,6,0)+IF(I24=O21,4,0)+IF(J24=O21,2,0)+IF(K24=O21,1,0)+IF(AND(L24=O21,L24&lt;&gt;""),1,0)+IF(B25=O21,25,0)+IF(C25=O21,18,0)+IF(D25=O21,15,0)+IF(E25=O21,12,0)+IF(F25=O21,10,0)+IF(G25=O21,8,0)+IF(H25=O21,6,0)+IF(I25=O21,4,0)+IF(J25=O21,2,0)+IF(K25=O21,1,0)+IF(AND(L25=O21,L25&lt;&gt;""),1,0)+IF(B26=O21,25,0)+IF(C26=O21,18,0)+IF(D26=O21,15,0)+IF(E26=O21,12,0)+IF(F26=O21,10,0)+IF(G26=O21,8,0)+IF(H26=O21,6,0)+IF(I26=O21,4,0)+IF(J26=O21,2,0)+IF(K26=O21,1,0)+IF(AND(L26=O21,L26&lt;&gt;""),1,0)+IF(B27=O21,25,0)+IF(C27=O21,18,0)+IF(D27=O21,15,0)+IF(E27=O21,12,0)+IF(F27=O21,10,0)+IF(G27=O21,8,0)+IF(H27=O21,6,0)+IF(I27=O21,4,0)+IF(J27=O21,2,0)+IF(K27=O21,1,0)+IF(AND(L27=O21,L27&lt;&gt;""),1,0)+IF(B28=O21,25,0)+IF(C28=O21,18,0)+IF(D28=O21,15,0)+IF(E28=O21,12,0)+IF(F28=O21,10,0)+IF(G28=O21,8,0)+IF(H28=O21,6,0)+IF(I28=O21,4,0)+IF(J28=O21,2,0)+IF(K28=O21,1,0)+IF(AND(L28=O21,L28&lt;&gt;""),1,0)+IF(B29=O21,25,0)+IF(C29=O21,18,0)+IF(D29=O21,15,0)+IF(E29=O21,12,0)+IF(F29=O21,10,0)+IF(G29=O21,8,0)+IF(H29=O21,6,0)+IF(I29=O21,4,0)+IF(J29=O21,2,0)+IF(K29=O21,1,0)+IF(AND(L29=O21,L29&lt;&gt;""),1,0),0)</f>
        <v>0</v>
      </c>
      <c r="S21" s="147" t="n">
        <f aca="false">Q21+R21</f>
        <v>0</v>
      </c>
      <c r="T21" s="10" t="n">
        <f aca="false">RANK(S21,S$6:S$27,0)</f>
        <v>17</v>
      </c>
    </row>
    <row r="22" customFormat="false" ht="14.25" hidden="false" customHeight="true" outlineLevel="0" collapsed="false">
      <c r="A22" s="9" t="s">
        <v>310</v>
      </c>
      <c r="B22" s="148"/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O22" s="9" t="s">
        <v>113</v>
      </c>
      <c r="P22" s="9" t="str">
        <f aca="false">IFERROR(INDEX('Driver Bios'!$C$2:$C$23,MATCH(O22,'Driver Bios'!$B$2:$B$23,0)),"Aston Martin")</f>
        <v>Aston Martin</v>
      </c>
      <c r="Q22" s="8" t="n">
        <f aca="false">IFERROR(INDEX('Driver Standings'!$E$2:$E$23,MATCH(O22,'Driver Standings'!$B$2:$B$23,0)),0)</f>
        <v>0</v>
      </c>
      <c r="R22" s="8" t="n">
        <f aca="false">IFERROR(IF(B8=O22,25,0)+IF(C8=O22,18,0)+IF(D8=O22,15,0)+IF(E8=O22,12,0)+IF(F8=O22,10,0)+IF(G8=O22,8,0)+IF(H8=O22,6,0)+IF(I8=O22,4,0)+IF(J8=O22,2,0)+IF(K8=O22,1,0)+IF(AND(L8=O22,L8&lt;&gt;""),1,0)+IF(B9=O22,25,0)+IF(C9=O22,18,0)+IF(D9=O22,15,0)+IF(E9=O22,12,0)+IF(F9=O22,10,0)+IF(G9=O22,8,0)+IF(H9=O22,6,0)+IF(I9=O22,4,0)+IF(J9=O22,2,0)+IF(K9=O22,1,0)+IF(AND(L9=O22,L9&lt;&gt;""),1,0)+IF(B10=O22,25,0)+IF(C10=O22,18,0)+IF(D10=O22,15,0)+IF(E10=O22,12,0)+IF(F10=O22,10,0)+IF(G10=O22,8,0)+IF(H10=O22,6,0)+IF(I10=O22,4,0)+IF(J10=O22,2,0)+IF(K10=O22,1,0)+IF(AND(L10=O22,L10&lt;&gt;""),1,0)+IF(B11=O22,25,0)+IF(C11=O22,18,0)+IF(D11=O22,15,0)+IF(E11=O22,12,0)+IF(F11=O22,10,0)+IF(G11=O22,8,0)+IF(H11=O22,6,0)+IF(I11=O22,4,0)+IF(J11=O22,2,0)+IF(K11=O22,1,0)+IF(AND(L11=O22,L11&lt;&gt;""),1,0)+IF(B12=O22,25,0)+IF(C12=O22,18,0)+IF(D12=O22,15,0)+IF(E12=O22,12,0)+IF(F12=O22,10,0)+IF(G12=O22,8,0)+IF(H12=O22,6,0)+IF(I12=O22,4,0)+IF(J12=O22,2,0)+IF(K12=O22,1,0)+IF(AND(L12=O22,L12&lt;&gt;""),1,0)+IF(B13=O22,25,0)+IF(C13=O22,18,0)+IF(D13=O22,15,0)+IF(E13=O22,12,0)+IF(F13=O22,10,0)+IF(G13=O22,8,0)+IF(H13=O22,6,0)+IF(I13=O22,4,0)+IF(J13=O22,2,0)+IF(K13=O22,1,0)+IF(AND(L13=O22,L13&lt;&gt;""),1,0)+IF(B14=O22,25,0)+IF(C14=O22,18,0)+IF(D14=O22,15,0)+IF(E14=O22,12,0)+IF(F14=O22,10,0)+IF(G14=O22,8,0)+IF(H14=O22,6,0)+IF(I14=O22,4,0)+IF(J14=O22,2,0)+IF(K14=O22,1,0)+IF(AND(L14=O22,L14&lt;&gt;""),1,0)+IF(B15=O22,25,0)+IF(C15=O22,18,0)+IF(D15=O22,15,0)+IF(E15=O22,12,0)+IF(F15=O22,10,0)+IF(G15=O22,8,0)+IF(H15=O22,6,0)+IF(I15=O22,4,0)+IF(J15=O22,2,0)+IF(K15=O22,1,0)+IF(AND(L15=O22,L15&lt;&gt;""),1,0)+IF(B16=O22,25,0)+IF(C16=O22,18,0)+IF(D16=O22,15,0)+IF(E16=O22,12,0)+IF(F16=O22,10,0)+IF(G16=O22,8,0)+IF(H16=O22,6,0)+IF(I16=O22,4,0)+IF(J16=O22,2,0)+IF(K16=O22,1,0)+IF(AND(L16=O22,L16&lt;&gt;""),1,0)+IF(B17=O22,25,0)+IF(C17=O22,18,0)+IF(D17=O22,15,0)+IF(E17=O22,12,0)+IF(F17=O22,10,0)+IF(G17=O22,8,0)+IF(H17=O22,6,0)+IF(I17=O22,4,0)+IF(J17=O22,2,0)+IF(K17=O22,1,0)+IF(AND(L17=O22,L17&lt;&gt;""),1,0)+IF(B18=O22,25,0)+IF(C18=O22,18,0)+IF(D18=O22,15,0)+IF(E18=O22,12,0)+IF(F18=O22,10,0)+IF(G18=O22,8,0)+IF(H18=O22,6,0)+IF(I18=O22,4,0)+IF(J18=O22,2,0)+IF(K18=O22,1,0)+IF(AND(L18=O22,L18&lt;&gt;""),1,0)+IF(B19=O22,25,0)+IF(C19=O22,18,0)+IF(D19=O22,15,0)+IF(E19=O22,12,0)+IF(F19=O22,10,0)+IF(G19=O22,8,0)+IF(H19=O22,6,0)+IF(I19=O22,4,0)+IF(J19=O22,2,0)+IF(K19=O22,1,0)+IF(AND(L19=O22,L19&lt;&gt;""),1,0)+IF(B20=O22,25,0)+IF(C20=O22,18,0)+IF(D20=O22,15,0)+IF(E20=O22,12,0)+IF(F20=O22,10,0)+IF(G20=O22,8,0)+IF(H20=O22,6,0)+IF(I20=O22,4,0)+IF(J20=O22,2,0)+IF(K20=O22,1,0)+IF(AND(L20=O22,L20&lt;&gt;""),1,0)+IF(B21=O22,25,0)+IF(C21=O22,18,0)+IF(D21=O22,15,0)+IF(E21=O22,12,0)+IF(F21=O22,10,0)+IF(G21=O22,8,0)+IF(H21=O22,6,0)+IF(I21=O22,4,0)+IF(J21=O22,2,0)+IF(K21=O22,1,0)+IF(AND(L21=O22,L21&lt;&gt;""),1,0)+IF(B22=O22,25,0)+IF(C22=O22,18,0)+IF(D22=O22,15,0)+IF(E22=O22,12,0)+IF(F22=O22,10,0)+IF(G22=O22,8,0)+IF(H22=O22,6,0)+IF(I22=O22,4,0)+IF(J22=O22,2,0)+IF(K22=O22,1,0)+IF(AND(L22=O22,L22&lt;&gt;""),1,0)+IF(B23=O22,25,0)+IF(C23=O22,18,0)+IF(D23=O22,15,0)+IF(E23=O22,12,0)+IF(F23=O22,10,0)+IF(G23=O22,8,0)+IF(H23=O22,6,0)+IF(I23=O22,4,0)+IF(J23=O22,2,0)+IF(K23=O22,1,0)+IF(AND(L23=O22,L23&lt;&gt;""),1,0)+IF(B24=O22,25,0)+IF(C24=O22,18,0)+IF(D24=O22,15,0)+IF(E24=O22,12,0)+IF(F24=O22,10,0)+IF(G24=O22,8,0)+IF(H24=O22,6,0)+IF(I24=O22,4,0)+IF(J24=O22,2,0)+IF(K24=O22,1,0)+IF(AND(L24=O22,L24&lt;&gt;""),1,0)+IF(B25=O22,25,0)+IF(C25=O22,18,0)+IF(D25=O22,15,0)+IF(E25=O22,12,0)+IF(F25=O22,10,0)+IF(G25=O22,8,0)+IF(H25=O22,6,0)+IF(I25=O22,4,0)+IF(J25=O22,2,0)+IF(K25=O22,1,0)+IF(AND(L25=O22,L25&lt;&gt;""),1,0)+IF(B26=O22,25,0)+IF(C26=O22,18,0)+IF(D26=O22,15,0)+IF(E26=O22,12,0)+IF(F26=O22,10,0)+IF(G26=O22,8,0)+IF(H26=O22,6,0)+IF(I26=O22,4,0)+IF(J26=O22,2,0)+IF(K26=O22,1,0)+IF(AND(L26=O22,L26&lt;&gt;""),1,0)+IF(B27=O22,25,0)+IF(C27=O22,18,0)+IF(D27=O22,15,0)+IF(E27=O22,12,0)+IF(F27=O22,10,0)+IF(G27=O22,8,0)+IF(H27=O22,6,0)+IF(I27=O22,4,0)+IF(J27=O22,2,0)+IF(K27=O22,1,0)+IF(AND(L27=O22,L27&lt;&gt;""),1,0)+IF(B28=O22,25,0)+IF(C28=O22,18,0)+IF(D28=O22,15,0)+IF(E28=O22,12,0)+IF(F28=O22,10,0)+IF(G28=O22,8,0)+IF(H28=O22,6,0)+IF(I28=O22,4,0)+IF(J28=O22,2,0)+IF(K28=O22,1,0)+IF(AND(L28=O22,L28&lt;&gt;""),1,0)+IF(B29=O22,25,0)+IF(C29=O22,18,0)+IF(D29=O22,15,0)+IF(E29=O22,12,0)+IF(F29=O22,10,0)+IF(G29=O22,8,0)+IF(H29=O22,6,0)+IF(I29=O22,4,0)+IF(J29=O22,2,0)+IF(K29=O22,1,0)+IF(AND(L29=O22,L29&lt;&gt;""),1,0),0)</f>
        <v>0</v>
      </c>
      <c r="S22" s="146" t="n">
        <f aca="false">Q22+R22</f>
        <v>0</v>
      </c>
      <c r="T22" s="8" t="n">
        <f aca="false">RANK(S22,S$6:S$27,0)</f>
        <v>17</v>
      </c>
    </row>
    <row r="23" customFormat="false" ht="14.25" hidden="false" customHeight="true" outlineLevel="0" collapsed="false">
      <c r="A23" s="9" t="s">
        <v>87</v>
      </c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O23" s="11" t="s">
        <v>114</v>
      </c>
      <c r="P23" s="11" t="str">
        <f aca="false">IFERROR(INDEX('Driver Bios'!$C$2:$C$23,MATCH(O23,'Driver Bios'!$B$2:$B$23,0)),"Williams")</f>
        <v>Williams</v>
      </c>
      <c r="Q23" s="10" t="n">
        <f aca="false">IFERROR(INDEX('Driver Standings'!$E$2:$E$23,MATCH(O23,'Driver Standings'!$B$2:$B$23,0)),0)</f>
        <v>0</v>
      </c>
      <c r="R23" s="10" t="n">
        <f aca="false">IFERROR(IF(B8=O23,25,0)+IF(C8=O23,18,0)+IF(D8=O23,15,0)+IF(E8=O23,12,0)+IF(F8=O23,10,0)+IF(G8=O23,8,0)+IF(H8=O23,6,0)+IF(I8=O23,4,0)+IF(J8=O23,2,0)+IF(K8=O23,1,0)+IF(AND(L8=O23,L8&lt;&gt;""),1,0)+IF(B9=O23,25,0)+IF(C9=O23,18,0)+IF(D9=O23,15,0)+IF(E9=O23,12,0)+IF(F9=O23,10,0)+IF(G9=O23,8,0)+IF(H9=O23,6,0)+IF(I9=O23,4,0)+IF(J9=O23,2,0)+IF(K9=O23,1,0)+IF(AND(L9=O23,L9&lt;&gt;""),1,0)+IF(B10=O23,25,0)+IF(C10=O23,18,0)+IF(D10=O23,15,0)+IF(E10=O23,12,0)+IF(F10=O23,10,0)+IF(G10=O23,8,0)+IF(H10=O23,6,0)+IF(I10=O23,4,0)+IF(J10=O23,2,0)+IF(K10=O23,1,0)+IF(AND(L10=O23,L10&lt;&gt;""),1,0)+IF(B11=O23,25,0)+IF(C11=O23,18,0)+IF(D11=O23,15,0)+IF(E11=O23,12,0)+IF(F11=O23,10,0)+IF(G11=O23,8,0)+IF(H11=O23,6,0)+IF(I11=O23,4,0)+IF(J11=O23,2,0)+IF(K11=O23,1,0)+IF(AND(L11=O23,L11&lt;&gt;""),1,0)+IF(B12=O23,25,0)+IF(C12=O23,18,0)+IF(D12=O23,15,0)+IF(E12=O23,12,0)+IF(F12=O23,10,0)+IF(G12=O23,8,0)+IF(H12=O23,6,0)+IF(I12=O23,4,0)+IF(J12=O23,2,0)+IF(K12=O23,1,0)+IF(AND(L12=O23,L12&lt;&gt;""),1,0)+IF(B13=O23,25,0)+IF(C13=O23,18,0)+IF(D13=O23,15,0)+IF(E13=O23,12,0)+IF(F13=O23,10,0)+IF(G13=O23,8,0)+IF(H13=O23,6,0)+IF(I13=O23,4,0)+IF(J13=O23,2,0)+IF(K13=O23,1,0)+IF(AND(L13=O23,L13&lt;&gt;""),1,0)+IF(B14=O23,25,0)+IF(C14=O23,18,0)+IF(D14=O23,15,0)+IF(E14=O23,12,0)+IF(F14=O23,10,0)+IF(G14=O23,8,0)+IF(H14=O23,6,0)+IF(I14=O23,4,0)+IF(J14=O23,2,0)+IF(K14=O23,1,0)+IF(AND(L14=O23,L14&lt;&gt;""),1,0)+IF(B15=O23,25,0)+IF(C15=O23,18,0)+IF(D15=O23,15,0)+IF(E15=O23,12,0)+IF(F15=O23,10,0)+IF(G15=O23,8,0)+IF(H15=O23,6,0)+IF(I15=O23,4,0)+IF(J15=O23,2,0)+IF(K15=O23,1,0)+IF(AND(L15=O23,L15&lt;&gt;""),1,0)+IF(B16=O23,25,0)+IF(C16=O23,18,0)+IF(D16=O23,15,0)+IF(E16=O23,12,0)+IF(F16=O23,10,0)+IF(G16=O23,8,0)+IF(H16=O23,6,0)+IF(I16=O23,4,0)+IF(J16=O23,2,0)+IF(K16=O23,1,0)+IF(AND(L16=O23,L16&lt;&gt;""),1,0)+IF(B17=O23,25,0)+IF(C17=O23,18,0)+IF(D17=O23,15,0)+IF(E17=O23,12,0)+IF(F17=O23,10,0)+IF(G17=O23,8,0)+IF(H17=O23,6,0)+IF(I17=O23,4,0)+IF(J17=O23,2,0)+IF(K17=O23,1,0)+IF(AND(L17=O23,L17&lt;&gt;""),1,0)+IF(B18=O23,25,0)+IF(C18=O23,18,0)+IF(D18=O23,15,0)+IF(E18=O23,12,0)+IF(F18=O23,10,0)+IF(G18=O23,8,0)+IF(H18=O23,6,0)+IF(I18=O23,4,0)+IF(J18=O23,2,0)+IF(K18=O23,1,0)+IF(AND(L18=O23,L18&lt;&gt;""),1,0)+IF(B19=O23,25,0)+IF(C19=O23,18,0)+IF(D19=O23,15,0)+IF(E19=O23,12,0)+IF(F19=O23,10,0)+IF(G19=O23,8,0)+IF(H19=O23,6,0)+IF(I19=O23,4,0)+IF(J19=O23,2,0)+IF(K19=O23,1,0)+IF(AND(L19=O23,L19&lt;&gt;""),1,0)+IF(B20=O23,25,0)+IF(C20=O23,18,0)+IF(D20=O23,15,0)+IF(E20=O23,12,0)+IF(F20=O23,10,0)+IF(G20=O23,8,0)+IF(H20=O23,6,0)+IF(I20=O23,4,0)+IF(J20=O23,2,0)+IF(K20=O23,1,0)+IF(AND(L20=O23,L20&lt;&gt;""),1,0)+IF(B21=O23,25,0)+IF(C21=O23,18,0)+IF(D21=O23,15,0)+IF(E21=O23,12,0)+IF(F21=O23,10,0)+IF(G21=O23,8,0)+IF(H21=O23,6,0)+IF(I21=O23,4,0)+IF(J21=O23,2,0)+IF(K21=O23,1,0)+IF(AND(L21=O23,L21&lt;&gt;""),1,0)+IF(B22=O23,25,0)+IF(C22=O23,18,0)+IF(D22=O23,15,0)+IF(E22=O23,12,0)+IF(F22=O23,10,0)+IF(G22=O23,8,0)+IF(H22=O23,6,0)+IF(I22=O23,4,0)+IF(J22=O23,2,0)+IF(K22=O23,1,0)+IF(AND(L22=O23,L22&lt;&gt;""),1,0)+IF(B23=O23,25,0)+IF(C23=O23,18,0)+IF(D23=O23,15,0)+IF(E23=O23,12,0)+IF(F23=O23,10,0)+IF(G23=O23,8,0)+IF(H23=O23,6,0)+IF(I23=O23,4,0)+IF(J23=O23,2,0)+IF(K23=O23,1,0)+IF(AND(L23=O23,L23&lt;&gt;""),1,0)+IF(B24=O23,25,0)+IF(C24=O23,18,0)+IF(D24=O23,15,0)+IF(E24=O23,12,0)+IF(F24=O23,10,0)+IF(G24=O23,8,0)+IF(H24=O23,6,0)+IF(I24=O23,4,0)+IF(J24=O23,2,0)+IF(K24=O23,1,0)+IF(AND(L24=O23,L24&lt;&gt;""),1,0)+IF(B25=O23,25,0)+IF(C25=O23,18,0)+IF(D25=O23,15,0)+IF(E25=O23,12,0)+IF(F25=O23,10,0)+IF(G25=O23,8,0)+IF(H25=O23,6,0)+IF(I25=O23,4,0)+IF(J25=O23,2,0)+IF(K25=O23,1,0)+IF(AND(L25=O23,L25&lt;&gt;""),1,0)+IF(B26=O23,25,0)+IF(C26=O23,18,0)+IF(D26=O23,15,0)+IF(E26=O23,12,0)+IF(F26=O23,10,0)+IF(G26=O23,8,0)+IF(H26=O23,6,0)+IF(I26=O23,4,0)+IF(J26=O23,2,0)+IF(K26=O23,1,0)+IF(AND(L26=O23,L26&lt;&gt;""),1,0)+IF(B27=O23,25,0)+IF(C27=O23,18,0)+IF(D27=O23,15,0)+IF(E27=O23,12,0)+IF(F27=O23,10,0)+IF(G27=O23,8,0)+IF(H27=O23,6,0)+IF(I27=O23,4,0)+IF(J27=O23,2,0)+IF(K27=O23,1,0)+IF(AND(L27=O23,L27&lt;&gt;""),1,0)+IF(B28=O23,25,0)+IF(C28=O23,18,0)+IF(D28=O23,15,0)+IF(E28=O23,12,0)+IF(F28=O23,10,0)+IF(G28=O23,8,0)+IF(H28=O23,6,0)+IF(I28=O23,4,0)+IF(J28=O23,2,0)+IF(K28=O23,1,0)+IF(AND(L28=O23,L28&lt;&gt;""),1,0)+IF(B29=O23,25,0)+IF(C29=O23,18,0)+IF(D29=O23,15,0)+IF(E29=O23,12,0)+IF(F29=O23,10,0)+IF(G29=O23,8,0)+IF(H29=O23,6,0)+IF(I29=O23,4,0)+IF(J29=O23,2,0)+IF(K29=O23,1,0)+IF(AND(L29=O23,L29&lt;&gt;""),1,0),0)</f>
        <v>0</v>
      </c>
      <c r="S23" s="147" t="n">
        <f aca="false">Q23+R23</f>
        <v>0</v>
      </c>
      <c r="T23" s="10" t="n">
        <f aca="false">RANK(S23,S$6:S$27,0)</f>
        <v>17</v>
      </c>
    </row>
    <row r="24" customFormat="false" ht="14.25" hidden="false" customHeight="true" outlineLevel="0" collapsed="false">
      <c r="A24" s="9" t="s">
        <v>320</v>
      </c>
      <c r="B24" s="148"/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O24" s="9" t="s">
        <v>69</v>
      </c>
      <c r="P24" s="9" t="str">
        <f aca="false">IFERROR(INDEX('Driver Bios'!$C$2:$C$23,MATCH(O24,'Driver Bios'!$B$2:$B$23,0)),"Haas")</f>
        <v>Haas</v>
      </c>
      <c r="Q24" s="8" t="n">
        <f aca="false">IFERROR(INDEX('Driver Standings'!$E$2:$E$23,MATCH(O24,'Driver Standings'!$B$2:$B$23,0)),0)</f>
        <v>1</v>
      </c>
      <c r="R24" s="8" t="n">
        <f aca="false">IFERROR(IF(B8=O24,25,0)+IF(C8=O24,18,0)+IF(D8=O24,15,0)+IF(E8=O24,12,0)+IF(F8=O24,10,0)+IF(G8=O24,8,0)+IF(H8=O24,6,0)+IF(I8=O24,4,0)+IF(J8=O24,2,0)+IF(K8=O24,1,0)+IF(AND(L8=O24,L8&lt;&gt;""),1,0)+IF(B9=O24,25,0)+IF(C9=O24,18,0)+IF(D9=O24,15,0)+IF(E9=O24,12,0)+IF(F9=O24,10,0)+IF(G9=O24,8,0)+IF(H9=O24,6,0)+IF(I9=O24,4,0)+IF(J9=O24,2,0)+IF(K9=O24,1,0)+IF(AND(L9=O24,L9&lt;&gt;""),1,0)+IF(B10=O24,25,0)+IF(C10=O24,18,0)+IF(D10=O24,15,0)+IF(E10=O24,12,0)+IF(F10=O24,10,0)+IF(G10=O24,8,0)+IF(H10=O24,6,0)+IF(I10=O24,4,0)+IF(J10=O24,2,0)+IF(K10=O24,1,0)+IF(AND(L10=O24,L10&lt;&gt;""),1,0)+IF(B11=O24,25,0)+IF(C11=O24,18,0)+IF(D11=O24,15,0)+IF(E11=O24,12,0)+IF(F11=O24,10,0)+IF(G11=O24,8,0)+IF(H11=O24,6,0)+IF(I11=O24,4,0)+IF(J11=O24,2,0)+IF(K11=O24,1,0)+IF(AND(L11=O24,L11&lt;&gt;""),1,0)+IF(B12=O24,25,0)+IF(C12=O24,18,0)+IF(D12=O24,15,0)+IF(E12=O24,12,0)+IF(F12=O24,10,0)+IF(G12=O24,8,0)+IF(H12=O24,6,0)+IF(I12=O24,4,0)+IF(J12=O24,2,0)+IF(K12=O24,1,0)+IF(AND(L12=O24,L12&lt;&gt;""),1,0)+IF(B13=O24,25,0)+IF(C13=O24,18,0)+IF(D13=O24,15,0)+IF(E13=O24,12,0)+IF(F13=O24,10,0)+IF(G13=O24,8,0)+IF(H13=O24,6,0)+IF(I13=O24,4,0)+IF(J13=O24,2,0)+IF(K13=O24,1,0)+IF(AND(L13=O24,L13&lt;&gt;""),1,0)+IF(B14=O24,25,0)+IF(C14=O24,18,0)+IF(D14=O24,15,0)+IF(E14=O24,12,0)+IF(F14=O24,10,0)+IF(G14=O24,8,0)+IF(H14=O24,6,0)+IF(I14=O24,4,0)+IF(J14=O24,2,0)+IF(K14=O24,1,0)+IF(AND(L14=O24,L14&lt;&gt;""),1,0)+IF(B15=O24,25,0)+IF(C15=O24,18,0)+IF(D15=O24,15,0)+IF(E15=O24,12,0)+IF(F15=O24,10,0)+IF(G15=O24,8,0)+IF(H15=O24,6,0)+IF(I15=O24,4,0)+IF(J15=O24,2,0)+IF(K15=O24,1,0)+IF(AND(L15=O24,L15&lt;&gt;""),1,0)+IF(B16=O24,25,0)+IF(C16=O24,18,0)+IF(D16=O24,15,0)+IF(E16=O24,12,0)+IF(F16=O24,10,0)+IF(G16=O24,8,0)+IF(H16=O24,6,0)+IF(I16=O24,4,0)+IF(J16=O24,2,0)+IF(K16=O24,1,0)+IF(AND(L16=O24,L16&lt;&gt;""),1,0)+IF(B17=O24,25,0)+IF(C17=O24,18,0)+IF(D17=O24,15,0)+IF(E17=O24,12,0)+IF(F17=O24,10,0)+IF(G17=O24,8,0)+IF(H17=O24,6,0)+IF(I17=O24,4,0)+IF(J17=O24,2,0)+IF(K17=O24,1,0)+IF(AND(L17=O24,L17&lt;&gt;""),1,0)+IF(B18=O24,25,0)+IF(C18=O24,18,0)+IF(D18=O24,15,0)+IF(E18=O24,12,0)+IF(F18=O24,10,0)+IF(G18=O24,8,0)+IF(H18=O24,6,0)+IF(I18=O24,4,0)+IF(J18=O24,2,0)+IF(K18=O24,1,0)+IF(AND(L18=O24,L18&lt;&gt;""),1,0)+IF(B19=O24,25,0)+IF(C19=O24,18,0)+IF(D19=O24,15,0)+IF(E19=O24,12,0)+IF(F19=O24,10,0)+IF(G19=O24,8,0)+IF(H19=O24,6,0)+IF(I19=O24,4,0)+IF(J19=O24,2,0)+IF(K19=O24,1,0)+IF(AND(L19=O24,L19&lt;&gt;""),1,0)+IF(B20=O24,25,0)+IF(C20=O24,18,0)+IF(D20=O24,15,0)+IF(E20=O24,12,0)+IF(F20=O24,10,0)+IF(G20=O24,8,0)+IF(H20=O24,6,0)+IF(I20=O24,4,0)+IF(J20=O24,2,0)+IF(K20=O24,1,0)+IF(AND(L20=O24,L20&lt;&gt;""),1,0)+IF(B21=O24,25,0)+IF(C21=O24,18,0)+IF(D21=O24,15,0)+IF(E21=O24,12,0)+IF(F21=O24,10,0)+IF(G21=O24,8,0)+IF(H21=O24,6,0)+IF(I21=O24,4,0)+IF(J21=O24,2,0)+IF(K21=O24,1,0)+IF(AND(L21=O24,L21&lt;&gt;""),1,0)+IF(B22=O24,25,0)+IF(C22=O24,18,0)+IF(D22=O24,15,0)+IF(E22=O24,12,0)+IF(F22=O24,10,0)+IF(G22=O24,8,0)+IF(H22=O24,6,0)+IF(I22=O24,4,0)+IF(J22=O24,2,0)+IF(K22=O24,1,0)+IF(AND(L22=O24,L22&lt;&gt;""),1,0)+IF(B23=O24,25,0)+IF(C23=O24,18,0)+IF(D23=O24,15,0)+IF(E23=O24,12,0)+IF(F23=O24,10,0)+IF(G23=O24,8,0)+IF(H23=O24,6,0)+IF(I23=O24,4,0)+IF(J23=O24,2,0)+IF(K23=O24,1,0)+IF(AND(L23=O24,L23&lt;&gt;""),1,0)+IF(B24=O24,25,0)+IF(C24=O24,18,0)+IF(D24=O24,15,0)+IF(E24=O24,12,0)+IF(F24=O24,10,0)+IF(G24=O24,8,0)+IF(H24=O24,6,0)+IF(I24=O24,4,0)+IF(J24=O24,2,0)+IF(K24=O24,1,0)+IF(AND(L24=O24,L24&lt;&gt;""),1,0)+IF(B25=O24,25,0)+IF(C25=O24,18,0)+IF(D25=O24,15,0)+IF(E25=O24,12,0)+IF(F25=O24,10,0)+IF(G25=O24,8,0)+IF(H25=O24,6,0)+IF(I25=O24,4,0)+IF(J25=O24,2,0)+IF(K25=O24,1,0)+IF(AND(L25=O24,L25&lt;&gt;""),1,0)+IF(B26=O24,25,0)+IF(C26=O24,18,0)+IF(D26=O24,15,0)+IF(E26=O24,12,0)+IF(F26=O24,10,0)+IF(G26=O24,8,0)+IF(H26=O24,6,0)+IF(I26=O24,4,0)+IF(J26=O24,2,0)+IF(K26=O24,1,0)+IF(AND(L26=O24,L26&lt;&gt;""),1,0)+IF(B27=O24,25,0)+IF(C27=O24,18,0)+IF(D27=O24,15,0)+IF(E27=O24,12,0)+IF(F27=O24,10,0)+IF(G27=O24,8,0)+IF(H27=O24,6,0)+IF(I27=O24,4,0)+IF(J27=O24,2,0)+IF(K27=O24,1,0)+IF(AND(L27=O24,L27&lt;&gt;""),1,0)+IF(B28=O24,25,0)+IF(C28=O24,18,0)+IF(D28=O24,15,0)+IF(E28=O24,12,0)+IF(F28=O24,10,0)+IF(G28=O24,8,0)+IF(H28=O24,6,0)+IF(I28=O24,4,0)+IF(J28=O24,2,0)+IF(K28=O24,1,0)+IF(AND(L28=O24,L28&lt;&gt;""),1,0)+IF(B29=O24,25,0)+IF(C29=O24,18,0)+IF(D29=O24,15,0)+IF(E29=O24,12,0)+IF(F29=O24,10,0)+IF(G29=O24,8,0)+IF(H29=O24,6,0)+IF(I29=O24,4,0)+IF(J29=O24,2,0)+IF(K29=O24,1,0)+IF(AND(L29=O24,L29&lt;&gt;""),1,0),0)</f>
        <v>1</v>
      </c>
      <c r="S24" s="146" t="n">
        <f aca="false">Q24+R24</f>
        <v>2</v>
      </c>
      <c r="T24" s="8" t="n">
        <f aca="false">RANK(S24,S$6:S$27,0)</f>
        <v>13</v>
      </c>
    </row>
    <row r="25" customFormat="false" ht="14.25" hidden="false" customHeight="true" outlineLevel="0" collapsed="false">
      <c r="A25" s="9" t="s">
        <v>326</v>
      </c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O25" s="11" t="s">
        <v>115</v>
      </c>
      <c r="P25" s="11" t="str">
        <f aca="false">IFERROR(INDEX('Driver Bios'!$C$2:$C$23,MATCH(O25,'Driver Bios'!$B$2:$B$23,0)),"Audi")</f>
        <v>Audi</v>
      </c>
      <c r="Q25" s="10" t="n">
        <f aca="false">IFERROR(INDEX('Driver Standings'!$E$2:$E$23,MATCH(O25,'Driver Standings'!$B$2:$B$23,0)),0)</f>
        <v>0</v>
      </c>
      <c r="R25" s="10" t="n">
        <f aca="false">IFERROR(IF(B8=O25,25,0)+IF(C8=O25,18,0)+IF(D8=O25,15,0)+IF(E8=O25,12,0)+IF(F8=O25,10,0)+IF(G8=O25,8,0)+IF(H8=O25,6,0)+IF(I8=O25,4,0)+IF(J8=O25,2,0)+IF(K8=O25,1,0)+IF(AND(L8=O25,L8&lt;&gt;""),1,0)+IF(B9=O25,25,0)+IF(C9=O25,18,0)+IF(D9=O25,15,0)+IF(E9=O25,12,0)+IF(F9=O25,10,0)+IF(G9=O25,8,0)+IF(H9=O25,6,0)+IF(I9=O25,4,0)+IF(J9=O25,2,0)+IF(K9=O25,1,0)+IF(AND(L9=O25,L9&lt;&gt;""),1,0)+IF(B10=O25,25,0)+IF(C10=O25,18,0)+IF(D10=O25,15,0)+IF(E10=O25,12,0)+IF(F10=O25,10,0)+IF(G10=O25,8,0)+IF(H10=O25,6,0)+IF(I10=O25,4,0)+IF(J10=O25,2,0)+IF(K10=O25,1,0)+IF(AND(L10=O25,L10&lt;&gt;""),1,0)+IF(B11=O25,25,0)+IF(C11=O25,18,0)+IF(D11=O25,15,0)+IF(E11=O25,12,0)+IF(F11=O25,10,0)+IF(G11=O25,8,0)+IF(H11=O25,6,0)+IF(I11=O25,4,0)+IF(J11=O25,2,0)+IF(K11=O25,1,0)+IF(AND(L11=O25,L11&lt;&gt;""),1,0)+IF(B12=O25,25,0)+IF(C12=O25,18,0)+IF(D12=O25,15,0)+IF(E12=O25,12,0)+IF(F12=O25,10,0)+IF(G12=O25,8,0)+IF(H12=O25,6,0)+IF(I12=O25,4,0)+IF(J12=O25,2,0)+IF(K12=O25,1,0)+IF(AND(L12=O25,L12&lt;&gt;""),1,0)+IF(B13=O25,25,0)+IF(C13=O25,18,0)+IF(D13=O25,15,0)+IF(E13=O25,12,0)+IF(F13=O25,10,0)+IF(G13=O25,8,0)+IF(H13=O25,6,0)+IF(I13=O25,4,0)+IF(J13=O25,2,0)+IF(K13=O25,1,0)+IF(AND(L13=O25,L13&lt;&gt;""),1,0)+IF(B14=O25,25,0)+IF(C14=O25,18,0)+IF(D14=O25,15,0)+IF(E14=O25,12,0)+IF(F14=O25,10,0)+IF(G14=O25,8,0)+IF(H14=O25,6,0)+IF(I14=O25,4,0)+IF(J14=O25,2,0)+IF(K14=O25,1,0)+IF(AND(L14=O25,L14&lt;&gt;""),1,0)+IF(B15=O25,25,0)+IF(C15=O25,18,0)+IF(D15=O25,15,0)+IF(E15=O25,12,0)+IF(F15=O25,10,0)+IF(G15=O25,8,0)+IF(H15=O25,6,0)+IF(I15=O25,4,0)+IF(J15=O25,2,0)+IF(K15=O25,1,0)+IF(AND(L15=O25,L15&lt;&gt;""),1,0)+IF(B16=O25,25,0)+IF(C16=O25,18,0)+IF(D16=O25,15,0)+IF(E16=O25,12,0)+IF(F16=O25,10,0)+IF(G16=O25,8,0)+IF(H16=O25,6,0)+IF(I16=O25,4,0)+IF(J16=O25,2,0)+IF(K16=O25,1,0)+IF(AND(L16=O25,L16&lt;&gt;""),1,0)+IF(B17=O25,25,0)+IF(C17=O25,18,0)+IF(D17=O25,15,0)+IF(E17=O25,12,0)+IF(F17=O25,10,0)+IF(G17=O25,8,0)+IF(H17=O25,6,0)+IF(I17=O25,4,0)+IF(J17=O25,2,0)+IF(K17=O25,1,0)+IF(AND(L17=O25,L17&lt;&gt;""),1,0)+IF(B18=O25,25,0)+IF(C18=O25,18,0)+IF(D18=O25,15,0)+IF(E18=O25,12,0)+IF(F18=O25,10,0)+IF(G18=O25,8,0)+IF(H18=O25,6,0)+IF(I18=O25,4,0)+IF(J18=O25,2,0)+IF(K18=O25,1,0)+IF(AND(L18=O25,L18&lt;&gt;""),1,0)+IF(B19=O25,25,0)+IF(C19=O25,18,0)+IF(D19=O25,15,0)+IF(E19=O25,12,0)+IF(F19=O25,10,0)+IF(G19=O25,8,0)+IF(H19=O25,6,0)+IF(I19=O25,4,0)+IF(J19=O25,2,0)+IF(K19=O25,1,0)+IF(AND(L19=O25,L19&lt;&gt;""),1,0)+IF(B20=O25,25,0)+IF(C20=O25,18,0)+IF(D20=O25,15,0)+IF(E20=O25,12,0)+IF(F20=O25,10,0)+IF(G20=O25,8,0)+IF(H20=O25,6,0)+IF(I20=O25,4,0)+IF(J20=O25,2,0)+IF(K20=O25,1,0)+IF(AND(L20=O25,L20&lt;&gt;""),1,0)+IF(B21=O25,25,0)+IF(C21=O25,18,0)+IF(D21=O25,15,0)+IF(E21=O25,12,0)+IF(F21=O25,10,0)+IF(G21=O25,8,0)+IF(H21=O25,6,0)+IF(I21=O25,4,0)+IF(J21=O25,2,0)+IF(K21=O25,1,0)+IF(AND(L21=O25,L21&lt;&gt;""),1,0)+IF(B22=O25,25,0)+IF(C22=O25,18,0)+IF(D22=O25,15,0)+IF(E22=O25,12,0)+IF(F22=O25,10,0)+IF(G22=O25,8,0)+IF(H22=O25,6,0)+IF(I22=O25,4,0)+IF(J22=O25,2,0)+IF(K22=O25,1,0)+IF(AND(L22=O25,L22&lt;&gt;""),1,0)+IF(B23=O25,25,0)+IF(C23=O25,18,0)+IF(D23=O25,15,0)+IF(E23=O25,12,0)+IF(F23=O25,10,0)+IF(G23=O25,8,0)+IF(H23=O25,6,0)+IF(I23=O25,4,0)+IF(J23=O25,2,0)+IF(K23=O25,1,0)+IF(AND(L23=O25,L23&lt;&gt;""),1,0)+IF(B24=O25,25,0)+IF(C24=O25,18,0)+IF(D24=O25,15,0)+IF(E24=O25,12,0)+IF(F24=O25,10,0)+IF(G24=O25,8,0)+IF(H24=O25,6,0)+IF(I24=O25,4,0)+IF(J24=O25,2,0)+IF(K24=O25,1,0)+IF(AND(L24=O25,L24&lt;&gt;""),1,0)+IF(B25=O25,25,0)+IF(C25=O25,18,0)+IF(D25=O25,15,0)+IF(E25=O25,12,0)+IF(F25=O25,10,0)+IF(G25=O25,8,0)+IF(H25=O25,6,0)+IF(I25=O25,4,0)+IF(J25=O25,2,0)+IF(K25=O25,1,0)+IF(AND(L25=O25,L25&lt;&gt;""),1,0)+IF(B26=O25,25,0)+IF(C26=O25,18,0)+IF(D26=O25,15,0)+IF(E26=O25,12,0)+IF(F26=O25,10,0)+IF(G26=O25,8,0)+IF(H26=O25,6,0)+IF(I26=O25,4,0)+IF(J26=O25,2,0)+IF(K26=O25,1,0)+IF(AND(L26=O25,L26&lt;&gt;""),1,0)+IF(B27=O25,25,0)+IF(C27=O25,18,0)+IF(D27=O25,15,0)+IF(E27=O25,12,0)+IF(F27=O25,10,0)+IF(G27=O25,8,0)+IF(H27=O25,6,0)+IF(I27=O25,4,0)+IF(J27=O25,2,0)+IF(K27=O25,1,0)+IF(AND(L27=O25,L27&lt;&gt;""),1,0)+IF(B28=O25,25,0)+IF(C28=O25,18,0)+IF(D28=O25,15,0)+IF(E28=O25,12,0)+IF(F28=O25,10,0)+IF(G28=O25,8,0)+IF(H28=O25,6,0)+IF(I28=O25,4,0)+IF(J28=O25,2,0)+IF(K28=O25,1,0)+IF(AND(L28=O25,L28&lt;&gt;""),1,0)+IF(B29=O25,25,0)+IF(C29=O25,18,0)+IF(D29=O25,15,0)+IF(E29=O25,12,0)+IF(F29=O25,10,0)+IF(G29=O25,8,0)+IF(H29=O25,6,0)+IF(I29=O25,4,0)+IF(J29=O25,2,0)+IF(K29=O25,1,0)+IF(AND(L29=O25,L29&lt;&gt;""),1,0),0)</f>
        <v>0</v>
      </c>
      <c r="S25" s="147" t="n">
        <f aca="false">Q25+R25</f>
        <v>0</v>
      </c>
      <c r="T25" s="10" t="n">
        <f aca="false">RANK(S25,S$6:S$27,0)</f>
        <v>17</v>
      </c>
    </row>
    <row r="26" customFormat="false" ht="14.25" hidden="false" customHeight="true" outlineLevel="0" collapsed="false">
      <c r="A26" s="9" t="s">
        <v>332</v>
      </c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O26" s="9" t="s">
        <v>116</v>
      </c>
      <c r="P26" s="9" t="str">
        <f aca="false">IFERROR(INDEX('Driver Bios'!$C$2:$C$23,MATCH(O26,'Driver Bios'!$B$2:$B$23,0)),"Cadillac")</f>
        <v>Cadillac</v>
      </c>
      <c r="Q26" s="8" t="n">
        <f aca="false">IFERROR(INDEX('Driver Standings'!$E$2:$E$23,MATCH(O26,'Driver Standings'!$B$2:$B$23,0)),0)</f>
        <v>0</v>
      </c>
      <c r="R26" s="8" t="n">
        <f aca="false">IFERROR(IF(B8=O26,25,0)+IF(C8=O26,18,0)+IF(D8=O26,15,0)+IF(E8=O26,12,0)+IF(F8=O26,10,0)+IF(G8=O26,8,0)+IF(H8=O26,6,0)+IF(I8=O26,4,0)+IF(J8=O26,2,0)+IF(K8=O26,1,0)+IF(AND(L8=O26,L8&lt;&gt;""),1,0)+IF(B9=O26,25,0)+IF(C9=O26,18,0)+IF(D9=O26,15,0)+IF(E9=O26,12,0)+IF(F9=O26,10,0)+IF(G9=O26,8,0)+IF(H9=O26,6,0)+IF(I9=O26,4,0)+IF(J9=O26,2,0)+IF(K9=O26,1,0)+IF(AND(L9=O26,L9&lt;&gt;""),1,0)+IF(B10=O26,25,0)+IF(C10=O26,18,0)+IF(D10=O26,15,0)+IF(E10=O26,12,0)+IF(F10=O26,10,0)+IF(G10=O26,8,0)+IF(H10=O26,6,0)+IF(I10=O26,4,0)+IF(J10=O26,2,0)+IF(K10=O26,1,0)+IF(AND(L10=O26,L10&lt;&gt;""),1,0)+IF(B11=O26,25,0)+IF(C11=O26,18,0)+IF(D11=O26,15,0)+IF(E11=O26,12,0)+IF(F11=O26,10,0)+IF(G11=O26,8,0)+IF(H11=O26,6,0)+IF(I11=O26,4,0)+IF(J11=O26,2,0)+IF(K11=O26,1,0)+IF(AND(L11=O26,L11&lt;&gt;""),1,0)+IF(B12=O26,25,0)+IF(C12=O26,18,0)+IF(D12=O26,15,0)+IF(E12=O26,12,0)+IF(F12=O26,10,0)+IF(G12=O26,8,0)+IF(H12=O26,6,0)+IF(I12=O26,4,0)+IF(J12=O26,2,0)+IF(K12=O26,1,0)+IF(AND(L12=O26,L12&lt;&gt;""),1,0)+IF(B13=O26,25,0)+IF(C13=O26,18,0)+IF(D13=O26,15,0)+IF(E13=O26,12,0)+IF(F13=O26,10,0)+IF(G13=O26,8,0)+IF(H13=O26,6,0)+IF(I13=O26,4,0)+IF(J13=O26,2,0)+IF(K13=O26,1,0)+IF(AND(L13=O26,L13&lt;&gt;""),1,0)+IF(B14=O26,25,0)+IF(C14=O26,18,0)+IF(D14=O26,15,0)+IF(E14=O26,12,0)+IF(F14=O26,10,0)+IF(G14=O26,8,0)+IF(H14=O26,6,0)+IF(I14=O26,4,0)+IF(J14=O26,2,0)+IF(K14=O26,1,0)+IF(AND(L14=O26,L14&lt;&gt;""),1,0)+IF(B15=O26,25,0)+IF(C15=O26,18,0)+IF(D15=O26,15,0)+IF(E15=O26,12,0)+IF(F15=O26,10,0)+IF(G15=O26,8,0)+IF(H15=O26,6,0)+IF(I15=O26,4,0)+IF(J15=O26,2,0)+IF(K15=O26,1,0)+IF(AND(L15=O26,L15&lt;&gt;""),1,0)+IF(B16=O26,25,0)+IF(C16=O26,18,0)+IF(D16=O26,15,0)+IF(E16=O26,12,0)+IF(F16=O26,10,0)+IF(G16=O26,8,0)+IF(H16=O26,6,0)+IF(I16=O26,4,0)+IF(J16=O26,2,0)+IF(K16=O26,1,0)+IF(AND(L16=O26,L16&lt;&gt;""),1,0)+IF(B17=O26,25,0)+IF(C17=O26,18,0)+IF(D17=O26,15,0)+IF(E17=O26,12,0)+IF(F17=O26,10,0)+IF(G17=O26,8,0)+IF(H17=O26,6,0)+IF(I17=O26,4,0)+IF(J17=O26,2,0)+IF(K17=O26,1,0)+IF(AND(L17=O26,L17&lt;&gt;""),1,0)+IF(B18=O26,25,0)+IF(C18=O26,18,0)+IF(D18=O26,15,0)+IF(E18=O26,12,0)+IF(F18=O26,10,0)+IF(G18=O26,8,0)+IF(H18=O26,6,0)+IF(I18=O26,4,0)+IF(J18=O26,2,0)+IF(K18=O26,1,0)+IF(AND(L18=O26,L18&lt;&gt;""),1,0)+IF(B19=O26,25,0)+IF(C19=O26,18,0)+IF(D19=O26,15,0)+IF(E19=O26,12,0)+IF(F19=O26,10,0)+IF(G19=O26,8,0)+IF(H19=O26,6,0)+IF(I19=O26,4,0)+IF(J19=O26,2,0)+IF(K19=O26,1,0)+IF(AND(L19=O26,L19&lt;&gt;""),1,0)+IF(B20=O26,25,0)+IF(C20=O26,18,0)+IF(D20=O26,15,0)+IF(E20=O26,12,0)+IF(F20=O26,10,0)+IF(G20=O26,8,0)+IF(H20=O26,6,0)+IF(I20=O26,4,0)+IF(J20=O26,2,0)+IF(K20=O26,1,0)+IF(AND(L20=O26,L20&lt;&gt;""),1,0)+IF(B21=O26,25,0)+IF(C21=O26,18,0)+IF(D21=O26,15,0)+IF(E21=O26,12,0)+IF(F21=O26,10,0)+IF(G21=O26,8,0)+IF(H21=O26,6,0)+IF(I21=O26,4,0)+IF(J21=O26,2,0)+IF(K21=O26,1,0)+IF(AND(L21=O26,L21&lt;&gt;""),1,0)+IF(B22=O26,25,0)+IF(C22=O26,18,0)+IF(D22=O26,15,0)+IF(E22=O26,12,0)+IF(F22=O26,10,0)+IF(G22=O26,8,0)+IF(H22=O26,6,0)+IF(I22=O26,4,0)+IF(J22=O26,2,0)+IF(K22=O26,1,0)+IF(AND(L22=O26,L22&lt;&gt;""),1,0)+IF(B23=O26,25,0)+IF(C23=O26,18,0)+IF(D23=O26,15,0)+IF(E23=O26,12,0)+IF(F23=O26,10,0)+IF(G23=O26,8,0)+IF(H23=O26,6,0)+IF(I23=O26,4,0)+IF(J23=O26,2,0)+IF(K23=O26,1,0)+IF(AND(L23=O26,L23&lt;&gt;""),1,0)+IF(B24=O26,25,0)+IF(C24=O26,18,0)+IF(D24=O26,15,0)+IF(E24=O26,12,0)+IF(F24=O26,10,0)+IF(G24=O26,8,0)+IF(H24=O26,6,0)+IF(I24=O26,4,0)+IF(J24=O26,2,0)+IF(K24=O26,1,0)+IF(AND(L24=O26,L24&lt;&gt;""),1,0)+IF(B25=O26,25,0)+IF(C25=O26,18,0)+IF(D25=O26,15,0)+IF(E25=O26,12,0)+IF(F25=O26,10,0)+IF(G25=O26,8,0)+IF(H25=O26,6,0)+IF(I25=O26,4,0)+IF(J25=O26,2,0)+IF(K25=O26,1,0)+IF(AND(L25=O26,L25&lt;&gt;""),1,0)+IF(B26=O26,25,0)+IF(C26=O26,18,0)+IF(D26=O26,15,0)+IF(E26=O26,12,0)+IF(F26=O26,10,0)+IF(G26=O26,8,0)+IF(H26=O26,6,0)+IF(I26=O26,4,0)+IF(J26=O26,2,0)+IF(K26=O26,1,0)+IF(AND(L26=O26,L26&lt;&gt;""),1,0)+IF(B27=O26,25,0)+IF(C27=O26,18,0)+IF(D27=O26,15,0)+IF(E27=O26,12,0)+IF(F27=O26,10,0)+IF(G27=O26,8,0)+IF(H27=O26,6,0)+IF(I27=O26,4,0)+IF(J27=O26,2,0)+IF(K27=O26,1,0)+IF(AND(L27=O26,L27&lt;&gt;""),1,0)+IF(B28=O26,25,0)+IF(C28=O26,18,0)+IF(D28=O26,15,0)+IF(E28=O26,12,0)+IF(F28=O26,10,0)+IF(G28=O26,8,0)+IF(H28=O26,6,0)+IF(I28=O26,4,0)+IF(J28=O26,2,0)+IF(K28=O26,1,0)+IF(AND(L28=O26,L28&lt;&gt;""),1,0)+IF(B29=O26,25,0)+IF(C29=O26,18,0)+IF(D29=O26,15,0)+IF(E29=O26,12,0)+IF(F29=O26,10,0)+IF(G29=O26,8,0)+IF(H29=O26,6,0)+IF(I29=O26,4,0)+IF(J29=O26,2,0)+IF(K29=O26,1,0)+IF(AND(L29=O26,L29&lt;&gt;""),1,0),0)</f>
        <v>0</v>
      </c>
      <c r="S26" s="146" t="n">
        <f aca="false">Q26+R26</f>
        <v>0</v>
      </c>
      <c r="T26" s="8" t="n">
        <f aca="false">RANK(S26,S$6:S$27,0)</f>
        <v>17</v>
      </c>
    </row>
    <row r="27" customFormat="false" ht="14.25" hidden="false" customHeight="true" outlineLevel="0" collapsed="false">
      <c r="A27" s="9" t="s">
        <v>337</v>
      </c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O27" s="11" t="s">
        <v>118</v>
      </c>
      <c r="P27" s="11" t="str">
        <f aca="false">IFERROR(INDEX('Driver Bios'!$C$2:$C$23,MATCH(O27,'Driver Bios'!$B$2:$B$23,0)),"Cadillac")</f>
        <v>Cadillac</v>
      </c>
      <c r="Q27" s="10" t="n">
        <f aca="false">IFERROR(INDEX('Driver Standings'!$E$2:$E$23,MATCH(O27,'Driver Standings'!$B$2:$B$23,0)),0)</f>
        <v>0</v>
      </c>
      <c r="R27" s="10" t="n">
        <f aca="false">IFERROR(IF(B8=O27,25,0)+IF(C8=O27,18,0)+IF(D8=O27,15,0)+IF(E8=O27,12,0)+IF(F8=O27,10,0)+IF(G8=O27,8,0)+IF(H8=O27,6,0)+IF(I8=O27,4,0)+IF(J8=O27,2,0)+IF(K8=O27,1,0)+IF(AND(L8=O27,L8&lt;&gt;""),1,0)+IF(B9=O27,25,0)+IF(C9=O27,18,0)+IF(D9=O27,15,0)+IF(E9=O27,12,0)+IF(F9=O27,10,0)+IF(G9=O27,8,0)+IF(H9=O27,6,0)+IF(I9=O27,4,0)+IF(J9=O27,2,0)+IF(K9=O27,1,0)+IF(AND(L9=O27,L9&lt;&gt;""),1,0)+IF(B10=O27,25,0)+IF(C10=O27,18,0)+IF(D10=O27,15,0)+IF(E10=O27,12,0)+IF(F10=O27,10,0)+IF(G10=O27,8,0)+IF(H10=O27,6,0)+IF(I10=O27,4,0)+IF(J10=O27,2,0)+IF(K10=O27,1,0)+IF(AND(L10=O27,L10&lt;&gt;""),1,0)+IF(B11=O27,25,0)+IF(C11=O27,18,0)+IF(D11=O27,15,0)+IF(E11=O27,12,0)+IF(F11=O27,10,0)+IF(G11=O27,8,0)+IF(H11=O27,6,0)+IF(I11=O27,4,0)+IF(J11=O27,2,0)+IF(K11=O27,1,0)+IF(AND(L11=O27,L11&lt;&gt;""),1,0)+IF(B12=O27,25,0)+IF(C12=O27,18,0)+IF(D12=O27,15,0)+IF(E12=O27,12,0)+IF(F12=O27,10,0)+IF(G12=O27,8,0)+IF(H12=O27,6,0)+IF(I12=O27,4,0)+IF(J12=O27,2,0)+IF(K12=O27,1,0)+IF(AND(L12=O27,L12&lt;&gt;""),1,0)+IF(B13=O27,25,0)+IF(C13=O27,18,0)+IF(D13=O27,15,0)+IF(E13=O27,12,0)+IF(F13=O27,10,0)+IF(G13=O27,8,0)+IF(H13=O27,6,0)+IF(I13=O27,4,0)+IF(J13=O27,2,0)+IF(K13=O27,1,0)+IF(AND(L13=O27,L13&lt;&gt;""),1,0)+IF(B14=O27,25,0)+IF(C14=O27,18,0)+IF(D14=O27,15,0)+IF(E14=O27,12,0)+IF(F14=O27,10,0)+IF(G14=O27,8,0)+IF(H14=O27,6,0)+IF(I14=O27,4,0)+IF(J14=O27,2,0)+IF(K14=O27,1,0)+IF(AND(L14=O27,L14&lt;&gt;""),1,0)+IF(B15=O27,25,0)+IF(C15=O27,18,0)+IF(D15=O27,15,0)+IF(E15=O27,12,0)+IF(F15=O27,10,0)+IF(G15=O27,8,0)+IF(H15=O27,6,0)+IF(I15=O27,4,0)+IF(J15=O27,2,0)+IF(K15=O27,1,0)+IF(AND(L15=O27,L15&lt;&gt;""),1,0)+IF(B16=O27,25,0)+IF(C16=O27,18,0)+IF(D16=O27,15,0)+IF(E16=O27,12,0)+IF(F16=O27,10,0)+IF(G16=O27,8,0)+IF(H16=O27,6,0)+IF(I16=O27,4,0)+IF(J16=O27,2,0)+IF(K16=O27,1,0)+IF(AND(L16=O27,L16&lt;&gt;""),1,0)+IF(B17=O27,25,0)+IF(C17=O27,18,0)+IF(D17=O27,15,0)+IF(E17=O27,12,0)+IF(F17=O27,10,0)+IF(G17=O27,8,0)+IF(H17=O27,6,0)+IF(I17=O27,4,0)+IF(J17=O27,2,0)+IF(K17=O27,1,0)+IF(AND(L17=O27,L17&lt;&gt;""),1,0)+IF(B18=O27,25,0)+IF(C18=O27,18,0)+IF(D18=O27,15,0)+IF(E18=O27,12,0)+IF(F18=O27,10,0)+IF(G18=O27,8,0)+IF(H18=O27,6,0)+IF(I18=O27,4,0)+IF(J18=O27,2,0)+IF(K18=O27,1,0)+IF(AND(L18=O27,L18&lt;&gt;""),1,0)+IF(B19=O27,25,0)+IF(C19=O27,18,0)+IF(D19=O27,15,0)+IF(E19=O27,12,0)+IF(F19=O27,10,0)+IF(G19=O27,8,0)+IF(H19=O27,6,0)+IF(I19=O27,4,0)+IF(J19=O27,2,0)+IF(K19=O27,1,0)+IF(AND(L19=O27,L19&lt;&gt;""),1,0)+IF(B20=O27,25,0)+IF(C20=O27,18,0)+IF(D20=O27,15,0)+IF(E20=O27,12,0)+IF(F20=O27,10,0)+IF(G20=O27,8,0)+IF(H20=O27,6,0)+IF(I20=O27,4,0)+IF(J20=O27,2,0)+IF(K20=O27,1,0)+IF(AND(L20=O27,L20&lt;&gt;""),1,0)+IF(B21=O27,25,0)+IF(C21=O27,18,0)+IF(D21=O27,15,0)+IF(E21=O27,12,0)+IF(F21=O27,10,0)+IF(G21=O27,8,0)+IF(H21=O27,6,0)+IF(I21=O27,4,0)+IF(J21=O27,2,0)+IF(K21=O27,1,0)+IF(AND(L21=O27,L21&lt;&gt;""),1,0)+IF(B22=O27,25,0)+IF(C22=O27,18,0)+IF(D22=O27,15,0)+IF(E22=O27,12,0)+IF(F22=O27,10,0)+IF(G22=O27,8,0)+IF(H22=O27,6,0)+IF(I22=O27,4,0)+IF(J22=O27,2,0)+IF(K22=O27,1,0)+IF(AND(L22=O27,L22&lt;&gt;""),1,0)+IF(B23=O27,25,0)+IF(C23=O27,18,0)+IF(D23=O27,15,0)+IF(E23=O27,12,0)+IF(F23=O27,10,0)+IF(G23=O27,8,0)+IF(H23=O27,6,0)+IF(I23=O27,4,0)+IF(J23=O27,2,0)+IF(K23=O27,1,0)+IF(AND(L23=O27,L23&lt;&gt;""),1,0)+IF(B24=O27,25,0)+IF(C24=O27,18,0)+IF(D24=O27,15,0)+IF(E24=O27,12,0)+IF(F24=O27,10,0)+IF(G24=O27,8,0)+IF(H24=O27,6,0)+IF(I24=O27,4,0)+IF(J24=O27,2,0)+IF(K24=O27,1,0)+IF(AND(L24=O27,L24&lt;&gt;""),1,0)+IF(B25=O27,25,0)+IF(C25=O27,18,0)+IF(D25=O27,15,0)+IF(E25=O27,12,0)+IF(F25=O27,10,0)+IF(G25=O27,8,0)+IF(H25=O27,6,0)+IF(I25=O27,4,0)+IF(J25=O27,2,0)+IF(K25=O27,1,0)+IF(AND(L25=O27,L25&lt;&gt;""),1,0)+IF(B26=O27,25,0)+IF(C26=O27,18,0)+IF(D26=O27,15,0)+IF(E26=O27,12,0)+IF(F26=O27,10,0)+IF(G26=O27,8,0)+IF(H26=O27,6,0)+IF(I26=O27,4,0)+IF(J26=O27,2,0)+IF(K26=O27,1,0)+IF(AND(L26=O27,L26&lt;&gt;""),1,0)+IF(B27=O27,25,0)+IF(C27=O27,18,0)+IF(D27=O27,15,0)+IF(E27=O27,12,0)+IF(F27=O27,10,0)+IF(G27=O27,8,0)+IF(H27=O27,6,0)+IF(I27=O27,4,0)+IF(J27=O27,2,0)+IF(K27=O27,1,0)+IF(AND(L27=O27,L27&lt;&gt;""),1,0)+IF(B28=O27,25,0)+IF(C28=O27,18,0)+IF(D28=O27,15,0)+IF(E28=O27,12,0)+IF(F28=O27,10,0)+IF(G28=O27,8,0)+IF(H28=O27,6,0)+IF(I28=O27,4,0)+IF(J28=O27,2,0)+IF(K28=O27,1,0)+IF(AND(L28=O27,L28&lt;&gt;""),1,0)+IF(B29=O27,25,0)+IF(C29=O27,18,0)+IF(D29=O27,15,0)+IF(E29=O27,12,0)+IF(F29=O27,10,0)+IF(G29=O27,8,0)+IF(H29=O27,6,0)+IF(I29=O27,4,0)+IF(J29=O27,2,0)+IF(K29=O27,1,0)+IF(AND(L29=O27,L29&lt;&gt;""),1,0),0)</f>
        <v>0</v>
      </c>
      <c r="S27" s="147" t="n">
        <f aca="false">Q27+R27</f>
        <v>0</v>
      </c>
      <c r="T27" s="10" t="n">
        <f aca="false">RANK(S27,S$6:S$27,0)</f>
        <v>17</v>
      </c>
    </row>
    <row r="28" customFormat="false" ht="14.25" hidden="false" customHeight="true" outlineLevel="0" collapsed="false">
      <c r="A28" s="9" t="s">
        <v>343</v>
      </c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</row>
    <row r="29" customFormat="false" ht="14.25" hidden="false" customHeight="true" outlineLevel="0" collapsed="false">
      <c r="A29" s="9" t="s">
        <v>348</v>
      </c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</row>
  </sheetData>
  <sheetProtection sheet="true" password="c755"/>
  <mergeCells count="2">
    <mergeCell ref="A1:M2"/>
    <mergeCell ref="A3:M3"/>
  </mergeCells>
  <conditionalFormatting sqref="O6:T27">
    <cfRule type="expression" priority="2" aboveAverage="0" equalAverage="0" bottom="0" percent="0" rank="0" text="" dxfId="0">
      <formula>$T6=1</formula>
    </cfRule>
    <cfRule type="expression" priority="3" aboveAverage="0" equalAverage="0" bottom="0" percent="0" rank="0" text="" dxfId="1">
      <formula>$T6=2</formula>
    </cfRule>
    <cfRule type="expression" priority="4" aboveAverage="0" equalAverage="0" bottom="0" percent="0" rank="0" text="" dxfId="2">
      <formula>$T6=3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4"/>
  </cols>
  <sheetData>
    <row r="1" customFormat="false" ht="14.25" hidden="false" customHeight="true" outlineLevel="0" collapsed="false">
      <c r="A1" s="6" t="s">
        <v>363</v>
      </c>
      <c r="B1" s="6" t="s">
        <v>364</v>
      </c>
      <c r="C1" s="6" t="s">
        <v>365</v>
      </c>
    </row>
    <row r="2" customFormat="false" ht="14.25" hidden="false" customHeight="true" outlineLevel="0" collapsed="false">
      <c r="A2" s="8" t="n">
        <v>1</v>
      </c>
      <c r="B2" s="8" t="n">
        <v>25</v>
      </c>
      <c r="C2" s="8" t="n">
        <v>8</v>
      </c>
    </row>
    <row r="3" customFormat="false" ht="14.25" hidden="false" customHeight="true" outlineLevel="0" collapsed="false">
      <c r="A3" s="10" t="n">
        <v>2</v>
      </c>
      <c r="B3" s="10" t="n">
        <v>18</v>
      </c>
      <c r="C3" s="10" t="n">
        <v>7</v>
      </c>
    </row>
    <row r="4" customFormat="false" ht="14.25" hidden="false" customHeight="true" outlineLevel="0" collapsed="false">
      <c r="A4" s="8" t="n">
        <v>3</v>
      </c>
      <c r="B4" s="8" t="n">
        <v>15</v>
      </c>
      <c r="C4" s="8" t="n">
        <v>6</v>
      </c>
    </row>
    <row r="5" customFormat="false" ht="14.25" hidden="false" customHeight="true" outlineLevel="0" collapsed="false">
      <c r="A5" s="10" t="n">
        <v>4</v>
      </c>
      <c r="B5" s="10" t="n">
        <v>12</v>
      </c>
      <c r="C5" s="10" t="n">
        <v>5</v>
      </c>
    </row>
    <row r="6" customFormat="false" ht="14.25" hidden="false" customHeight="true" outlineLevel="0" collapsed="false">
      <c r="A6" s="8" t="n">
        <v>5</v>
      </c>
      <c r="B6" s="8" t="n">
        <v>10</v>
      </c>
      <c r="C6" s="8" t="n">
        <v>4</v>
      </c>
    </row>
    <row r="7" customFormat="false" ht="14.25" hidden="false" customHeight="true" outlineLevel="0" collapsed="false">
      <c r="A7" s="10" t="n">
        <v>6</v>
      </c>
      <c r="B7" s="10" t="n">
        <v>8</v>
      </c>
      <c r="C7" s="10" t="n">
        <v>3</v>
      </c>
    </row>
    <row r="8" customFormat="false" ht="14.25" hidden="false" customHeight="true" outlineLevel="0" collapsed="false">
      <c r="A8" s="8" t="n">
        <v>7</v>
      </c>
      <c r="B8" s="8" t="n">
        <v>6</v>
      </c>
      <c r="C8" s="8" t="n">
        <v>2</v>
      </c>
    </row>
    <row r="9" customFormat="false" ht="14.25" hidden="false" customHeight="true" outlineLevel="0" collapsed="false">
      <c r="A9" s="10" t="n">
        <v>8</v>
      </c>
      <c r="B9" s="10" t="n">
        <v>4</v>
      </c>
      <c r="C9" s="10" t="n">
        <v>1</v>
      </c>
    </row>
    <row r="10" customFormat="false" ht="14.25" hidden="false" customHeight="true" outlineLevel="0" collapsed="false">
      <c r="A10" s="8" t="n">
        <v>9</v>
      </c>
      <c r="B10" s="8" t="n">
        <v>2</v>
      </c>
      <c r="C10" s="8" t="s">
        <v>366</v>
      </c>
    </row>
    <row r="11" customFormat="false" ht="14.25" hidden="false" customHeight="true" outlineLevel="0" collapsed="false">
      <c r="A11" s="10" t="n">
        <v>10</v>
      </c>
      <c r="B11" s="10" t="n">
        <v>1</v>
      </c>
      <c r="C11" s="10" t="s">
        <v>366</v>
      </c>
    </row>
    <row r="12" customFormat="false" ht="14.25" hidden="false" customHeight="true" outlineLevel="0" collapsed="false">
      <c r="A12" s="149" t="s">
        <v>367</v>
      </c>
      <c r="B12" s="149" t="n">
        <v>1</v>
      </c>
      <c r="C12" s="149" t="s">
        <v>366</v>
      </c>
    </row>
    <row r="13" customFormat="false" ht="14.25" hidden="false" customHeight="true" outlineLevel="0" collapsed="false">
      <c r="A13" s="150" t="s">
        <v>368</v>
      </c>
      <c r="B13" s="150"/>
      <c r="C13" s="150"/>
    </row>
  </sheetData>
  <sheetProtection sheet="true" password="c755"/>
  <mergeCells count="1"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5"/>
    <col collapsed="false" customWidth="true" hidden="false" outlineLevel="0" max="6" min="6" style="1" width="6"/>
    <col collapsed="false" customWidth="true" hidden="false" outlineLevel="0" max="8" min="7" style="1" width="12"/>
    <col collapsed="false" customWidth="true" hidden="false" outlineLevel="0" max="9" min="9" style="1" width="13"/>
    <col collapsed="false" customWidth="true" hidden="false" outlineLevel="0" max="10" min="10" style="1" width="15"/>
  </cols>
  <sheetData>
    <row r="1" customFormat="false" ht="27" hidden="false" customHeight="true" outlineLevel="0" collapsed="false">
      <c r="A1" s="6" t="s">
        <v>369</v>
      </c>
      <c r="B1" s="6" t="s">
        <v>370</v>
      </c>
      <c r="C1" s="6" t="s">
        <v>25</v>
      </c>
      <c r="D1" s="6" t="s">
        <v>120</v>
      </c>
      <c r="E1" s="6" t="s">
        <v>371</v>
      </c>
      <c r="F1" s="6" t="s">
        <v>372</v>
      </c>
      <c r="G1" s="6" t="s">
        <v>373</v>
      </c>
      <c r="H1" s="6" t="s">
        <v>374</v>
      </c>
      <c r="I1" s="6" t="s">
        <v>375</v>
      </c>
      <c r="J1" s="6" t="s">
        <v>376</v>
      </c>
    </row>
    <row r="2" customFormat="false" ht="14.25" hidden="false" customHeight="true" outlineLevel="0" collapsed="false">
      <c r="A2" s="8" t="s">
        <v>377</v>
      </c>
      <c r="B2" s="9" t="s">
        <v>48</v>
      </c>
      <c r="C2" s="9" t="s">
        <v>102</v>
      </c>
      <c r="D2" s="9" t="s">
        <v>129</v>
      </c>
      <c r="E2" s="8" t="s">
        <v>378</v>
      </c>
      <c r="F2" s="8" t="n">
        <f aca="true">IFERROR(DATEDIF(DATEVALUE(E2),TODAY(),"Y"),"")</f>
        <v>28</v>
      </c>
      <c r="G2" s="8" t="n">
        <v>2019</v>
      </c>
      <c r="H2" s="8" t="n">
        <v>5</v>
      </c>
      <c r="I2" s="8" t="n">
        <v>10</v>
      </c>
      <c r="J2" s="8" t="n">
        <v>0</v>
      </c>
    </row>
    <row r="3" customFormat="false" ht="14.25" hidden="false" customHeight="true" outlineLevel="0" collapsed="false">
      <c r="A3" s="10" t="s">
        <v>379</v>
      </c>
      <c r="B3" s="11" t="s">
        <v>49</v>
      </c>
      <c r="C3" s="11" t="s">
        <v>102</v>
      </c>
      <c r="D3" s="11" t="s">
        <v>130</v>
      </c>
      <c r="E3" s="10" t="s">
        <v>380</v>
      </c>
      <c r="F3" s="10" t="n">
        <f aca="true">IFERROR(DATEDIF(DATEVALUE(E3),TODAY(),"Y"),"")</f>
        <v>19</v>
      </c>
      <c r="G3" s="10" t="n">
        <v>2025</v>
      </c>
      <c r="H3" s="10" t="n">
        <v>1</v>
      </c>
      <c r="I3" s="10" t="n">
        <v>2</v>
      </c>
      <c r="J3" s="10" t="n">
        <v>0</v>
      </c>
    </row>
    <row r="4" customFormat="false" ht="14.25" hidden="false" customHeight="true" outlineLevel="0" collapsed="false">
      <c r="A4" s="8" t="s">
        <v>381</v>
      </c>
      <c r="B4" s="9" t="s">
        <v>50</v>
      </c>
      <c r="C4" s="9" t="s">
        <v>103</v>
      </c>
      <c r="D4" s="9" t="s">
        <v>131</v>
      </c>
      <c r="E4" s="8" t="s">
        <v>382</v>
      </c>
      <c r="F4" s="8" t="n">
        <f aca="true">IFERROR(DATEDIF(DATEVALUE(E4),TODAY(),"Y"),"")</f>
        <v>28</v>
      </c>
      <c r="G4" s="8" t="n">
        <v>2018</v>
      </c>
      <c r="H4" s="8" t="n">
        <v>8</v>
      </c>
      <c r="I4" s="8" t="n">
        <v>26</v>
      </c>
      <c r="J4" s="8" t="n">
        <v>0</v>
      </c>
    </row>
    <row r="5" customFormat="false" ht="14.25" hidden="false" customHeight="true" outlineLevel="0" collapsed="false">
      <c r="A5" s="10" t="s">
        <v>383</v>
      </c>
      <c r="B5" s="11" t="s">
        <v>51</v>
      </c>
      <c r="C5" s="11" t="s">
        <v>103</v>
      </c>
      <c r="D5" s="11" t="s">
        <v>129</v>
      </c>
      <c r="E5" s="10" t="s">
        <v>384</v>
      </c>
      <c r="F5" s="10" t="n">
        <f aca="true">IFERROR(DATEDIF(DATEVALUE(E5),TODAY(),"Y"),"")</f>
        <v>41</v>
      </c>
      <c r="G5" s="10" t="n">
        <v>2007</v>
      </c>
      <c r="H5" s="10" t="n">
        <v>104</v>
      </c>
      <c r="I5" s="10" t="n">
        <v>104</v>
      </c>
      <c r="J5" s="10" t="n">
        <v>7</v>
      </c>
    </row>
    <row r="6" customFormat="false" ht="14.25" hidden="false" customHeight="true" outlineLevel="0" collapsed="false">
      <c r="A6" s="8" t="s">
        <v>385</v>
      </c>
      <c r="B6" s="9" t="s">
        <v>54</v>
      </c>
      <c r="C6" s="9" t="s">
        <v>104</v>
      </c>
      <c r="D6" s="9" t="s">
        <v>129</v>
      </c>
      <c r="E6" s="8" t="s">
        <v>386</v>
      </c>
      <c r="F6" s="8" t="n">
        <f aca="true">IFERROR(DATEDIF(DATEVALUE(E6),TODAY(),"Y"),"")</f>
        <v>20</v>
      </c>
      <c r="G6" s="8" t="n">
        <v>2024</v>
      </c>
      <c r="H6" s="8" t="n">
        <v>0</v>
      </c>
      <c r="I6" s="8" t="n">
        <v>0</v>
      </c>
      <c r="J6" s="8" t="n">
        <v>0</v>
      </c>
    </row>
    <row r="7" customFormat="false" ht="14.25" hidden="false" customHeight="true" outlineLevel="0" collapsed="false">
      <c r="A7" s="10" t="s">
        <v>387</v>
      </c>
      <c r="B7" s="11" t="s">
        <v>52</v>
      </c>
      <c r="C7" s="11" t="s">
        <v>105</v>
      </c>
      <c r="D7" s="11" t="s">
        <v>129</v>
      </c>
      <c r="E7" s="10" t="s">
        <v>388</v>
      </c>
      <c r="F7" s="10" t="n">
        <f aca="true">IFERROR(DATEDIF(DATEVALUE(E7),TODAY(),"Y"),"")</f>
        <v>25</v>
      </c>
      <c r="G7" s="10" t="n">
        <v>2019</v>
      </c>
      <c r="H7" s="10" t="n">
        <v>4</v>
      </c>
      <c r="I7" s="10" t="n">
        <v>7</v>
      </c>
      <c r="J7" s="10" t="n">
        <v>1</v>
      </c>
    </row>
    <row r="8" customFormat="false" ht="14.25" hidden="false" customHeight="true" outlineLevel="0" collapsed="false">
      <c r="A8" s="8" t="s">
        <v>389</v>
      </c>
      <c r="B8" s="9" t="s">
        <v>57</v>
      </c>
      <c r="C8" s="9" t="s">
        <v>106</v>
      </c>
      <c r="D8" s="9" t="s">
        <v>132</v>
      </c>
      <c r="E8" s="8" t="s">
        <v>390</v>
      </c>
      <c r="F8" s="8" t="n">
        <f aca="true">IFERROR(DATEDIF(DATEVALUE(E8),TODAY(),"Y"),"")</f>
        <v>30</v>
      </c>
      <c r="G8" s="8" t="n">
        <v>2017</v>
      </c>
      <c r="H8" s="8" t="n">
        <v>1</v>
      </c>
      <c r="I8" s="8" t="n">
        <v>0</v>
      </c>
      <c r="J8" s="8" t="n">
        <v>0</v>
      </c>
    </row>
    <row r="9" customFormat="false" ht="14.25" hidden="false" customHeight="true" outlineLevel="0" collapsed="false">
      <c r="A9" s="10" t="s">
        <v>391</v>
      </c>
      <c r="B9" s="11" t="s">
        <v>53</v>
      </c>
      <c r="C9" s="11" t="s">
        <v>107</v>
      </c>
      <c r="D9" s="11" t="s">
        <v>133</v>
      </c>
      <c r="E9" s="10" t="s">
        <v>392</v>
      </c>
      <c r="F9" s="10" t="n">
        <f aca="true">IFERROR(DATEDIF(DATEVALUE(E9),TODAY(),"Y"),"")</f>
        <v>28</v>
      </c>
      <c r="G9" s="10" t="n">
        <v>2015</v>
      </c>
      <c r="H9" s="10" t="n">
        <v>61</v>
      </c>
      <c r="I9" s="10" t="n">
        <v>40</v>
      </c>
      <c r="J9" s="10" t="n">
        <v>4</v>
      </c>
    </row>
    <row r="10" customFormat="false" ht="14.25" hidden="false" customHeight="true" outlineLevel="0" collapsed="false">
      <c r="A10" s="8" t="s">
        <v>393</v>
      </c>
      <c r="B10" s="9" t="s">
        <v>61</v>
      </c>
      <c r="C10" s="9" t="s">
        <v>108</v>
      </c>
      <c r="D10" s="9" t="s">
        <v>134</v>
      </c>
      <c r="E10" s="8" t="s">
        <v>394</v>
      </c>
      <c r="F10" s="8" t="n">
        <f aca="true">IFERROR(DATEDIF(DATEVALUE(E10),TODAY(),"Y"),"")</f>
        <v>24</v>
      </c>
      <c r="G10" s="8" t="n">
        <v>2023</v>
      </c>
      <c r="H10" s="8" t="n">
        <v>0</v>
      </c>
      <c r="I10" s="8" t="n">
        <v>0</v>
      </c>
      <c r="J10" s="8" t="n">
        <v>0</v>
      </c>
    </row>
    <row r="11" customFormat="false" ht="14.25" hidden="false" customHeight="true" outlineLevel="0" collapsed="false">
      <c r="A11" s="10" t="s">
        <v>395</v>
      </c>
      <c r="B11" s="11" t="s">
        <v>62</v>
      </c>
      <c r="C11" s="11" t="s">
        <v>107</v>
      </c>
      <c r="D11" s="11" t="s">
        <v>132</v>
      </c>
      <c r="E11" s="10" t="s">
        <v>396</v>
      </c>
      <c r="F11" s="10" t="n">
        <f aca="true">IFERROR(DATEDIF(DATEVALUE(E11),TODAY(),"Y"),"")</f>
        <v>21</v>
      </c>
      <c r="G11" s="10" t="n">
        <v>2025</v>
      </c>
      <c r="H11" s="10" t="n">
        <v>0</v>
      </c>
      <c r="I11" s="10" t="n">
        <v>0</v>
      </c>
      <c r="J11" s="10" t="n">
        <v>0</v>
      </c>
    </row>
    <row r="12" customFormat="false" ht="14.25" hidden="false" customHeight="true" outlineLevel="0" collapsed="false">
      <c r="A12" s="8" t="s">
        <v>397</v>
      </c>
      <c r="B12" s="9" t="s">
        <v>55</v>
      </c>
      <c r="C12" s="9" t="s">
        <v>108</v>
      </c>
      <c r="D12" s="9" t="s">
        <v>129</v>
      </c>
      <c r="E12" s="8" t="s">
        <v>398</v>
      </c>
      <c r="F12" s="8" t="n">
        <f aca="true">IFERROR(DATEDIF(DATEVALUE(E12),TODAY(),"Y"),"")</f>
        <v>20</v>
      </c>
      <c r="G12" s="8" t="n">
        <v>2026</v>
      </c>
      <c r="H12" s="8" t="n">
        <v>0</v>
      </c>
      <c r="I12" s="8" t="n">
        <v>0</v>
      </c>
      <c r="J12" s="8" t="n">
        <v>0</v>
      </c>
    </row>
    <row r="13" customFormat="false" ht="14.25" hidden="false" customHeight="true" outlineLevel="0" collapsed="false">
      <c r="A13" s="10" t="s">
        <v>399</v>
      </c>
      <c r="B13" s="11" t="s">
        <v>68</v>
      </c>
      <c r="C13" s="11" t="s">
        <v>105</v>
      </c>
      <c r="D13" s="11" t="s">
        <v>135</v>
      </c>
      <c r="E13" s="10" t="s">
        <v>400</v>
      </c>
      <c r="F13" s="10" t="n">
        <f aca="true">IFERROR(DATEDIF(DATEVALUE(E13),TODAY(),"Y"),"")</f>
        <v>24</v>
      </c>
      <c r="G13" s="10" t="n">
        <v>2023</v>
      </c>
      <c r="H13" s="10" t="n">
        <v>3</v>
      </c>
      <c r="I13" s="10" t="n">
        <v>3</v>
      </c>
      <c r="J13" s="10" t="n">
        <v>0</v>
      </c>
    </row>
    <row r="14" customFormat="false" ht="14.25" hidden="false" customHeight="true" outlineLevel="0" collapsed="false">
      <c r="A14" s="8" t="s">
        <v>401</v>
      </c>
      <c r="B14" s="9" t="s">
        <v>63</v>
      </c>
      <c r="C14" s="9" t="s">
        <v>109</v>
      </c>
      <c r="D14" s="9" t="s">
        <v>136</v>
      </c>
      <c r="E14" s="8" t="s">
        <v>402</v>
      </c>
      <c r="F14" s="8" t="n">
        <f aca="true">IFERROR(DATEDIF(DATEVALUE(E14),TODAY(),"Y"),"")</f>
        <v>31</v>
      </c>
      <c r="G14" s="8" t="n">
        <v>2015</v>
      </c>
      <c r="H14" s="8" t="n">
        <v>4</v>
      </c>
      <c r="I14" s="8" t="n">
        <v>7</v>
      </c>
      <c r="J14" s="8" t="n">
        <v>0</v>
      </c>
    </row>
    <row r="15" customFormat="false" ht="14.25" hidden="false" customHeight="true" outlineLevel="0" collapsed="false">
      <c r="A15" s="10" t="s">
        <v>403</v>
      </c>
      <c r="B15" s="11" t="s">
        <v>56</v>
      </c>
      <c r="C15" s="11" t="s">
        <v>110</v>
      </c>
      <c r="D15" s="11" t="s">
        <v>137</v>
      </c>
      <c r="E15" s="10" t="s">
        <v>404</v>
      </c>
      <c r="F15" s="10" t="n">
        <f aca="true">IFERROR(DATEDIF(DATEVALUE(E15),TODAY(),"Y"),"")</f>
        <v>21</v>
      </c>
      <c r="G15" s="10" t="n">
        <v>2025</v>
      </c>
      <c r="H15" s="10" t="n">
        <v>0</v>
      </c>
      <c r="I15" s="10" t="n">
        <v>0</v>
      </c>
      <c r="J15" s="10" t="n">
        <v>0</v>
      </c>
    </row>
    <row r="16" customFormat="false" ht="14.25" hidden="false" customHeight="true" outlineLevel="0" collapsed="false">
      <c r="A16" s="8" t="s">
        <v>405</v>
      </c>
      <c r="B16" s="9" t="s">
        <v>64</v>
      </c>
      <c r="C16" s="9" t="s">
        <v>106</v>
      </c>
      <c r="D16" s="9" t="s">
        <v>138</v>
      </c>
      <c r="E16" s="8" t="s">
        <v>406</v>
      </c>
      <c r="F16" s="8" t="n">
        <f aca="true">IFERROR(DATEDIF(DATEVALUE(E16),TODAY(),"Y"),"")</f>
        <v>22</v>
      </c>
      <c r="G16" s="8" t="n">
        <v>2024</v>
      </c>
      <c r="H16" s="8" t="n">
        <v>0</v>
      </c>
      <c r="I16" s="8" t="n">
        <v>0</v>
      </c>
      <c r="J16" s="8" t="n">
        <v>0</v>
      </c>
    </row>
    <row r="17" customFormat="false" ht="14.25" hidden="false" customHeight="true" outlineLevel="0" collapsed="false">
      <c r="A17" s="10" t="s">
        <v>407</v>
      </c>
      <c r="B17" s="11" t="s">
        <v>111</v>
      </c>
      <c r="C17" s="11" t="s">
        <v>112</v>
      </c>
      <c r="D17" s="11" t="s">
        <v>136</v>
      </c>
      <c r="E17" s="10" t="s">
        <v>408</v>
      </c>
      <c r="F17" s="10" t="n">
        <f aca="true">IFERROR(DATEDIF(DATEVALUE(E17),TODAY(),"Y"),"")</f>
        <v>44</v>
      </c>
      <c r="G17" s="10" t="n">
        <v>2001</v>
      </c>
      <c r="H17" s="10" t="n">
        <v>32</v>
      </c>
      <c r="I17" s="10" t="n">
        <v>22</v>
      </c>
      <c r="J17" s="10" t="n">
        <v>2</v>
      </c>
    </row>
    <row r="18" customFormat="false" ht="14.25" hidden="false" customHeight="true" outlineLevel="0" collapsed="false">
      <c r="A18" s="8" t="s">
        <v>409</v>
      </c>
      <c r="B18" s="9" t="s">
        <v>113</v>
      </c>
      <c r="C18" s="9" t="s">
        <v>112</v>
      </c>
      <c r="D18" s="9" t="s">
        <v>139</v>
      </c>
      <c r="E18" s="8" t="s">
        <v>410</v>
      </c>
      <c r="F18" s="8" t="n">
        <f aca="true">IFERROR(DATEDIF(DATEVALUE(E18),TODAY(),"Y"),"")</f>
        <v>27</v>
      </c>
      <c r="G18" s="8" t="n">
        <v>2017</v>
      </c>
      <c r="H18" s="8" t="n">
        <v>0</v>
      </c>
      <c r="I18" s="8" t="n">
        <v>1</v>
      </c>
      <c r="J18" s="8" t="n">
        <v>0</v>
      </c>
    </row>
    <row r="19" customFormat="false" ht="14.25" hidden="false" customHeight="true" outlineLevel="0" collapsed="false">
      <c r="A19" s="10" t="s">
        <v>411</v>
      </c>
      <c r="B19" s="11" t="s">
        <v>114</v>
      </c>
      <c r="C19" s="11" t="s">
        <v>109</v>
      </c>
      <c r="D19" s="11" t="s">
        <v>140</v>
      </c>
      <c r="E19" s="10" t="s">
        <v>412</v>
      </c>
      <c r="F19" s="10" t="n">
        <f aca="true">IFERROR(DATEDIF(DATEVALUE(E19),TODAY(),"Y"),"")</f>
        <v>30</v>
      </c>
      <c r="G19" s="10" t="n">
        <v>2019</v>
      </c>
      <c r="H19" s="10" t="n">
        <v>0</v>
      </c>
      <c r="I19" s="10" t="n">
        <v>0</v>
      </c>
      <c r="J19" s="10" t="n">
        <v>0</v>
      </c>
    </row>
    <row r="20" customFormat="false" ht="14.25" hidden="false" customHeight="true" outlineLevel="0" collapsed="false">
      <c r="A20" s="8" t="s">
        <v>413</v>
      </c>
      <c r="B20" s="9" t="s">
        <v>69</v>
      </c>
      <c r="C20" s="9" t="s">
        <v>104</v>
      </c>
      <c r="D20" s="9" t="s">
        <v>132</v>
      </c>
      <c r="E20" s="8" t="s">
        <v>414</v>
      </c>
      <c r="F20" s="8" t="n">
        <f aca="true">IFERROR(DATEDIF(DATEVALUE(E20),TODAY(),"Y"),"")</f>
        <v>29</v>
      </c>
      <c r="G20" s="8" t="n">
        <v>2016</v>
      </c>
      <c r="H20" s="8" t="n">
        <v>1</v>
      </c>
      <c r="I20" s="8" t="n">
        <v>0</v>
      </c>
      <c r="J20" s="8" t="n">
        <v>0</v>
      </c>
    </row>
    <row r="21" customFormat="false" ht="14.25" hidden="false" customHeight="true" outlineLevel="0" collapsed="false">
      <c r="A21" s="10" t="s">
        <v>415</v>
      </c>
      <c r="B21" s="11" t="s">
        <v>115</v>
      </c>
      <c r="C21" s="11" t="s">
        <v>110</v>
      </c>
      <c r="D21" s="11" t="s">
        <v>141</v>
      </c>
      <c r="E21" s="10" t="s">
        <v>416</v>
      </c>
      <c r="F21" s="10" t="n">
        <f aca="true">IFERROR(DATEDIF(DATEVALUE(E21),TODAY(),"Y"),"")</f>
        <v>38</v>
      </c>
      <c r="G21" s="10" t="n">
        <v>2010</v>
      </c>
      <c r="H21" s="10" t="n">
        <v>0</v>
      </c>
      <c r="I21" s="10" t="n">
        <v>1</v>
      </c>
      <c r="J21" s="10" t="n">
        <v>0</v>
      </c>
    </row>
    <row r="22" customFormat="false" ht="14.25" hidden="false" customHeight="true" outlineLevel="0" collapsed="false">
      <c r="A22" s="8" t="s">
        <v>417</v>
      </c>
      <c r="B22" s="9" t="s">
        <v>116</v>
      </c>
      <c r="C22" s="9" t="s">
        <v>117</v>
      </c>
      <c r="D22" s="9" t="s">
        <v>142</v>
      </c>
      <c r="E22" s="8" t="s">
        <v>418</v>
      </c>
      <c r="F22" s="8" t="n">
        <f aca="true">IFERROR(DATEDIF(DATEVALUE(E22),TODAY(),"Y"),"")</f>
        <v>36</v>
      </c>
      <c r="G22" s="8" t="n">
        <v>2013</v>
      </c>
      <c r="H22" s="8" t="n">
        <v>10</v>
      </c>
      <c r="I22" s="8" t="n">
        <v>20</v>
      </c>
      <c r="J22" s="8" t="n">
        <v>0</v>
      </c>
    </row>
    <row r="23" customFormat="false" ht="14.25" hidden="false" customHeight="true" outlineLevel="0" collapsed="false">
      <c r="A23" s="10" t="s">
        <v>419</v>
      </c>
      <c r="B23" s="11" t="s">
        <v>118</v>
      </c>
      <c r="C23" s="11" t="s">
        <v>117</v>
      </c>
      <c r="D23" s="11" t="s">
        <v>143</v>
      </c>
      <c r="E23" s="10" t="s">
        <v>420</v>
      </c>
      <c r="F23" s="10" t="n">
        <f aca="true">IFERROR(DATEDIF(DATEVALUE(E23),TODAY(),"Y"),"")</f>
        <v>36</v>
      </c>
      <c r="G23" s="10" t="n">
        <v>2011</v>
      </c>
      <c r="H23" s="10" t="n">
        <v>6</v>
      </c>
      <c r="I23" s="10" t="n">
        <v>3</v>
      </c>
      <c r="J23" s="10" t="n">
        <v>0</v>
      </c>
    </row>
  </sheetData>
  <sheetProtection sheet="true" password="c7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2" min="1" style="1" width="22"/>
    <col collapsed="false" customWidth="true" hidden="false" outlineLevel="0" max="3" min="3" style="1" width="24"/>
    <col collapsed="false" customWidth="true" hidden="false" outlineLevel="0" max="4" min="4" style="1" width="26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24"/>
  </cols>
  <sheetData>
    <row r="1" customFormat="false" ht="27" hidden="false" customHeight="true" outlineLevel="0" collapsed="false">
      <c r="A1" s="6" t="s">
        <v>421</v>
      </c>
      <c r="B1" s="6" t="s">
        <v>422</v>
      </c>
      <c r="C1" s="6" t="s">
        <v>423</v>
      </c>
      <c r="D1" s="6" t="s">
        <v>424</v>
      </c>
      <c r="E1" s="6" t="s">
        <v>425</v>
      </c>
      <c r="F1" s="6" t="s">
        <v>426</v>
      </c>
      <c r="G1" s="6" t="s">
        <v>427</v>
      </c>
    </row>
    <row r="2" customFormat="false" ht="14.25" hidden="false" customHeight="true" outlineLevel="0" collapsed="false">
      <c r="A2" s="9" t="s">
        <v>102</v>
      </c>
      <c r="B2" s="8" t="s">
        <v>102</v>
      </c>
      <c r="C2" s="9" t="s">
        <v>428</v>
      </c>
      <c r="D2" s="9" t="s">
        <v>429</v>
      </c>
      <c r="E2" s="8" t="n">
        <v>2010</v>
      </c>
      <c r="F2" s="9" t="s">
        <v>430</v>
      </c>
      <c r="G2" s="8" t="n">
        <v>8</v>
      </c>
    </row>
    <row r="3" customFormat="false" ht="14.25" hidden="false" customHeight="true" outlineLevel="0" collapsed="false">
      <c r="A3" s="11" t="s">
        <v>103</v>
      </c>
      <c r="B3" s="10" t="s">
        <v>103</v>
      </c>
      <c r="C3" s="11" t="s">
        <v>431</v>
      </c>
      <c r="D3" s="11" t="s">
        <v>432</v>
      </c>
      <c r="E3" s="10" t="n">
        <v>1950</v>
      </c>
      <c r="F3" s="11" t="s">
        <v>433</v>
      </c>
      <c r="G3" s="10" t="n">
        <v>16</v>
      </c>
    </row>
    <row r="4" customFormat="false" ht="14.25" hidden="false" customHeight="true" outlineLevel="0" collapsed="false">
      <c r="A4" s="9" t="s">
        <v>105</v>
      </c>
      <c r="B4" s="8" t="s">
        <v>102</v>
      </c>
      <c r="C4" s="9" t="s">
        <v>434</v>
      </c>
      <c r="D4" s="9" t="s">
        <v>435</v>
      </c>
      <c r="E4" s="8" t="n">
        <v>1966</v>
      </c>
      <c r="F4" s="9" t="s">
        <v>436</v>
      </c>
      <c r="G4" s="8" t="n">
        <v>8</v>
      </c>
    </row>
    <row r="5" customFormat="false" ht="14.25" hidden="false" customHeight="true" outlineLevel="0" collapsed="false">
      <c r="A5" s="11" t="s">
        <v>104</v>
      </c>
      <c r="B5" s="10" t="s">
        <v>103</v>
      </c>
      <c r="C5" s="11" t="s">
        <v>437</v>
      </c>
      <c r="D5" s="11" t="s">
        <v>438</v>
      </c>
      <c r="E5" s="10" t="n">
        <v>2016</v>
      </c>
      <c r="F5" s="11" t="s">
        <v>439</v>
      </c>
      <c r="G5" s="10" t="n">
        <v>0</v>
      </c>
    </row>
    <row r="6" customFormat="false" ht="26.25" hidden="false" customHeight="true" outlineLevel="0" collapsed="false">
      <c r="A6" s="9" t="s">
        <v>107</v>
      </c>
      <c r="B6" s="8" t="s">
        <v>146</v>
      </c>
      <c r="C6" s="9" t="s">
        <v>440</v>
      </c>
      <c r="D6" s="9" t="s">
        <v>441</v>
      </c>
      <c r="E6" s="8" t="n">
        <v>2005</v>
      </c>
      <c r="F6" s="9" t="s">
        <v>442</v>
      </c>
      <c r="G6" s="8" t="n">
        <v>4</v>
      </c>
    </row>
    <row r="7" customFormat="false" ht="26.25" hidden="false" customHeight="true" outlineLevel="0" collapsed="false">
      <c r="A7" s="11" t="s">
        <v>108</v>
      </c>
      <c r="B7" s="10" t="s">
        <v>146</v>
      </c>
      <c r="C7" s="11" t="s">
        <v>443</v>
      </c>
      <c r="D7" s="11" t="s">
        <v>444</v>
      </c>
      <c r="E7" s="10" t="n">
        <v>2024</v>
      </c>
      <c r="F7" s="11" t="s">
        <v>445</v>
      </c>
      <c r="G7" s="10" t="n">
        <v>0</v>
      </c>
    </row>
    <row r="8" customFormat="false" ht="14.25" hidden="false" customHeight="true" outlineLevel="0" collapsed="false">
      <c r="A8" s="9" t="s">
        <v>106</v>
      </c>
      <c r="B8" s="8" t="s">
        <v>102</v>
      </c>
      <c r="C8" s="9" t="s">
        <v>446</v>
      </c>
      <c r="D8" s="9" t="s">
        <v>447</v>
      </c>
      <c r="E8" s="8" t="n">
        <v>2021</v>
      </c>
      <c r="F8" s="9" t="s">
        <v>448</v>
      </c>
      <c r="G8" s="8" t="n">
        <v>2</v>
      </c>
    </row>
    <row r="9" customFormat="false" ht="14.25" hidden="false" customHeight="true" outlineLevel="0" collapsed="false">
      <c r="A9" s="11" t="s">
        <v>109</v>
      </c>
      <c r="B9" s="10" t="s">
        <v>102</v>
      </c>
      <c r="C9" s="11" t="s">
        <v>449</v>
      </c>
      <c r="D9" s="11" t="s">
        <v>450</v>
      </c>
      <c r="E9" s="10" t="n">
        <v>1977</v>
      </c>
      <c r="F9" s="11" t="s">
        <v>451</v>
      </c>
      <c r="G9" s="10" t="n">
        <v>7</v>
      </c>
    </row>
    <row r="10" customFormat="false" ht="14.25" hidden="false" customHeight="true" outlineLevel="0" collapsed="false">
      <c r="A10" s="9" t="s">
        <v>110</v>
      </c>
      <c r="B10" s="8" t="s">
        <v>110</v>
      </c>
      <c r="C10" s="9" t="s">
        <v>452</v>
      </c>
      <c r="D10" s="9" t="s">
        <v>453</v>
      </c>
      <c r="E10" s="8" t="n">
        <v>1993</v>
      </c>
      <c r="F10" s="9" t="s">
        <v>454</v>
      </c>
      <c r="G10" s="8" t="n">
        <v>0</v>
      </c>
    </row>
    <row r="11" customFormat="false" ht="14.25" hidden="false" customHeight="true" outlineLevel="0" collapsed="false">
      <c r="A11" s="11" t="s">
        <v>112</v>
      </c>
      <c r="B11" s="10" t="s">
        <v>147</v>
      </c>
      <c r="C11" s="11" t="s">
        <v>455</v>
      </c>
      <c r="D11" s="11" t="s">
        <v>287</v>
      </c>
      <c r="E11" s="10" t="n">
        <v>2021</v>
      </c>
      <c r="F11" s="11" t="s">
        <v>456</v>
      </c>
      <c r="G11" s="10" t="n">
        <v>0</v>
      </c>
    </row>
    <row r="12" customFormat="false" ht="14.25" hidden="false" customHeight="true" outlineLevel="0" collapsed="false">
      <c r="A12" s="9" t="s">
        <v>117</v>
      </c>
      <c r="B12" s="8" t="s">
        <v>103</v>
      </c>
      <c r="C12" s="9" t="s">
        <v>457</v>
      </c>
      <c r="D12" s="9" t="s">
        <v>458</v>
      </c>
      <c r="E12" s="8" t="n">
        <v>2026</v>
      </c>
      <c r="F12" s="9" t="s">
        <v>459</v>
      </c>
      <c r="G12" s="8" t="n">
        <v>0</v>
      </c>
    </row>
  </sheetData>
  <sheetProtection sheet="true" password="c7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7D8B"/>
    <pageSetUpPr fitToPage="false"/>
  </sheetPr>
  <dimension ref="A1: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7" min="3" style="1" width="15"/>
  </cols>
  <sheetData>
    <row r="1" customFormat="false" ht="39.75" hidden="false" customHeight="true" outlineLevel="0" collapsed="false">
      <c r="A1" s="28" t="s">
        <v>460</v>
      </c>
      <c r="B1" s="28"/>
      <c r="C1" s="28"/>
      <c r="D1" s="28"/>
      <c r="E1" s="28"/>
      <c r="F1" s="28"/>
      <c r="G1" s="28"/>
    </row>
    <row r="3" customFormat="false" ht="19.5" hidden="false" customHeight="true" outlineLevel="0" collapsed="false">
      <c r="A3" s="151" t="s">
        <v>461</v>
      </c>
      <c r="B3" s="152"/>
      <c r="C3" s="152"/>
      <c r="D3" s="152"/>
      <c r="E3" s="152"/>
      <c r="F3" s="152"/>
      <c r="G3" s="152"/>
    </row>
    <row r="4" customFormat="false" ht="19.5" hidden="false" customHeight="true" outlineLevel="0" collapsed="false">
      <c r="A4" s="153" t="s">
        <v>462</v>
      </c>
      <c r="B4" s="154" t="s">
        <v>463</v>
      </c>
      <c r="C4" s="154"/>
      <c r="D4" s="154"/>
      <c r="E4" s="154"/>
      <c r="F4" s="154"/>
      <c r="G4" s="154"/>
    </row>
    <row r="5" customFormat="false" ht="19.5" hidden="false" customHeight="true" outlineLevel="0" collapsed="false">
      <c r="A5" s="155" t="s">
        <v>464</v>
      </c>
      <c r="B5" s="152" t="s">
        <v>465</v>
      </c>
      <c r="C5" s="152"/>
      <c r="D5" s="152"/>
      <c r="E5" s="152"/>
      <c r="F5" s="152"/>
      <c r="G5" s="152"/>
    </row>
    <row r="6" customFormat="false" ht="19.5" hidden="false" customHeight="true" outlineLevel="0" collapsed="false">
      <c r="A6" s="153" t="s">
        <v>466</v>
      </c>
      <c r="B6" s="154" t="s">
        <v>467</v>
      </c>
      <c r="C6" s="154"/>
      <c r="D6" s="154"/>
      <c r="E6" s="154"/>
      <c r="F6" s="154"/>
      <c r="G6" s="154"/>
    </row>
    <row r="7" customFormat="false" ht="19.5" hidden="false" customHeight="true" outlineLevel="0" collapsed="false">
      <c r="A7" s="155" t="s">
        <v>468</v>
      </c>
      <c r="B7" s="152" t="s">
        <v>469</v>
      </c>
      <c r="C7" s="152"/>
      <c r="D7" s="152"/>
      <c r="E7" s="152"/>
      <c r="F7" s="152"/>
      <c r="G7" s="152"/>
    </row>
    <row r="8" customFormat="false" ht="19.5" hidden="false" customHeight="true" outlineLevel="0" collapsed="false">
      <c r="A8" s="153" t="s">
        <v>470</v>
      </c>
      <c r="B8" s="154" t="s">
        <v>471</v>
      </c>
      <c r="C8" s="154"/>
      <c r="D8" s="154"/>
      <c r="E8" s="154"/>
      <c r="F8" s="154"/>
      <c r="G8" s="154"/>
    </row>
    <row r="9" customFormat="false" ht="19.5" hidden="false" customHeight="true" outlineLevel="0" collapsed="false">
      <c r="A9" s="156" t="s">
        <v>472</v>
      </c>
      <c r="B9" s="152" t="s">
        <v>473</v>
      </c>
      <c r="C9" s="152"/>
      <c r="D9" s="152"/>
      <c r="E9" s="152"/>
      <c r="F9" s="152"/>
      <c r="G9" s="152"/>
    </row>
    <row r="11" customFormat="false" ht="24.75" hidden="false" customHeight="true" outlineLevel="0" collapsed="false">
      <c r="A11" s="27" t="s">
        <v>474</v>
      </c>
      <c r="B11" s="27"/>
      <c r="C11" s="27"/>
      <c r="D11" s="27"/>
      <c r="E11" s="27"/>
      <c r="F11" s="27"/>
      <c r="G11" s="27"/>
    </row>
    <row r="12" customFormat="false" ht="15.75" hidden="false" customHeight="true" outlineLevel="0" collapsed="false">
      <c r="A12" s="157" t="s">
        <v>475</v>
      </c>
      <c r="B12" s="157"/>
      <c r="C12" s="157"/>
      <c r="D12" s="157"/>
      <c r="E12" s="157"/>
      <c r="F12" s="157"/>
      <c r="G12" s="157"/>
    </row>
    <row r="13" customFormat="false" ht="15.75" hidden="false" customHeight="true" outlineLevel="0" collapsed="false">
      <c r="A13" s="157" t="s">
        <v>476</v>
      </c>
      <c r="B13" s="157"/>
      <c r="C13" s="157"/>
      <c r="D13" s="157"/>
      <c r="E13" s="157"/>
      <c r="F13" s="157"/>
      <c r="G13" s="157"/>
    </row>
    <row r="14" customFormat="false" ht="15.75" hidden="false" customHeight="true" outlineLevel="0" collapsed="false">
      <c r="A14" s="157" t="s">
        <v>477</v>
      </c>
      <c r="B14" s="157"/>
      <c r="C14" s="157"/>
      <c r="D14" s="157"/>
      <c r="E14" s="157"/>
      <c r="F14" s="157"/>
      <c r="G14" s="157"/>
    </row>
    <row r="15" customFormat="false" ht="15.75" hidden="false" customHeight="true" outlineLevel="0" collapsed="false">
      <c r="A15" s="157" t="s">
        <v>478</v>
      </c>
      <c r="B15" s="157"/>
      <c r="C15" s="157"/>
      <c r="D15" s="157"/>
      <c r="E15" s="157"/>
      <c r="F15" s="157"/>
      <c r="G15" s="157"/>
    </row>
    <row r="16" customFormat="false" ht="15.75" hidden="false" customHeight="true" outlineLevel="0" collapsed="false">
      <c r="A16" s="157" t="s">
        <v>479</v>
      </c>
      <c r="B16" s="157"/>
      <c r="C16" s="157"/>
      <c r="D16" s="157"/>
      <c r="E16" s="157"/>
      <c r="F16" s="157"/>
      <c r="G16" s="157"/>
    </row>
    <row r="17" customFormat="false" ht="15.75" hidden="false" customHeight="true" outlineLevel="0" collapsed="false">
      <c r="A17" s="157" t="s">
        <v>480</v>
      </c>
      <c r="B17" s="157"/>
      <c r="C17" s="157"/>
      <c r="D17" s="157"/>
      <c r="E17" s="157"/>
      <c r="F17" s="157"/>
      <c r="G17" s="157"/>
    </row>
    <row r="18" customFormat="false" ht="15.75" hidden="false" customHeight="true" outlineLevel="0" collapsed="false">
      <c r="A18" s="157" t="s">
        <v>478</v>
      </c>
      <c r="B18" s="157"/>
      <c r="C18" s="157"/>
      <c r="D18" s="157"/>
      <c r="E18" s="157"/>
      <c r="F18" s="157"/>
      <c r="G18" s="157"/>
    </row>
    <row r="19" customFormat="false" ht="15.75" hidden="false" customHeight="true" outlineLevel="0" collapsed="false">
      <c r="A19" s="157" t="s">
        <v>481</v>
      </c>
      <c r="B19" s="157"/>
      <c r="C19" s="157"/>
      <c r="D19" s="157"/>
      <c r="E19" s="157"/>
      <c r="F19" s="157"/>
      <c r="G19" s="157"/>
    </row>
    <row r="20" customFormat="false" ht="15.75" hidden="false" customHeight="true" outlineLevel="0" collapsed="false">
      <c r="A20" s="157" t="s">
        <v>482</v>
      </c>
      <c r="B20" s="157"/>
      <c r="C20" s="157"/>
      <c r="D20" s="157"/>
      <c r="E20" s="157"/>
      <c r="F20" s="157"/>
      <c r="G20" s="157"/>
    </row>
    <row r="21" customFormat="false" ht="15.75" hidden="false" customHeight="true" outlineLevel="0" collapsed="false">
      <c r="A21" s="157" t="s">
        <v>483</v>
      </c>
      <c r="B21" s="157"/>
      <c r="C21" s="157"/>
      <c r="D21" s="157"/>
      <c r="E21" s="157"/>
      <c r="F21" s="157"/>
      <c r="G21" s="157"/>
    </row>
    <row r="22" customFormat="false" ht="15.75" hidden="false" customHeight="true" outlineLevel="0" collapsed="false">
      <c r="A22" s="157" t="s">
        <v>484</v>
      </c>
      <c r="B22" s="157"/>
      <c r="C22" s="157"/>
      <c r="D22" s="157"/>
      <c r="E22" s="157"/>
      <c r="F22" s="157"/>
      <c r="G22" s="157"/>
    </row>
    <row r="23" customFormat="false" ht="15.75" hidden="false" customHeight="true" outlineLevel="0" collapsed="false">
      <c r="A23" s="157" t="s">
        <v>485</v>
      </c>
      <c r="B23" s="157"/>
      <c r="C23" s="157"/>
      <c r="D23" s="157"/>
      <c r="E23" s="157"/>
      <c r="F23" s="157"/>
      <c r="G23" s="157"/>
    </row>
    <row r="24" customFormat="false" ht="15.75" hidden="false" customHeight="true" outlineLevel="0" collapsed="false">
      <c r="A24" s="157" t="s">
        <v>486</v>
      </c>
      <c r="B24" s="157"/>
      <c r="C24" s="157"/>
      <c r="D24" s="157"/>
      <c r="E24" s="157"/>
      <c r="F24" s="157"/>
      <c r="G24" s="157"/>
    </row>
    <row r="25" customFormat="false" ht="15.75" hidden="false" customHeight="true" outlineLevel="0" collapsed="false">
      <c r="A25" s="157" t="s">
        <v>487</v>
      </c>
      <c r="B25" s="157"/>
      <c r="C25" s="157"/>
      <c r="D25" s="157"/>
      <c r="E25" s="157"/>
      <c r="F25" s="157"/>
      <c r="G25" s="157"/>
    </row>
    <row r="26" customFormat="false" ht="15.75" hidden="false" customHeight="true" outlineLevel="0" collapsed="false">
      <c r="A26" s="157" t="s">
        <v>488</v>
      </c>
      <c r="B26" s="157"/>
      <c r="C26" s="157"/>
      <c r="D26" s="157"/>
      <c r="E26" s="157"/>
      <c r="F26" s="157"/>
      <c r="G26" s="157"/>
    </row>
    <row r="27" customFormat="false" ht="15.75" hidden="false" customHeight="true" outlineLevel="0" collapsed="false">
      <c r="A27" s="157" t="s">
        <v>489</v>
      </c>
      <c r="B27" s="157"/>
      <c r="C27" s="157"/>
      <c r="D27" s="157"/>
      <c r="E27" s="157"/>
      <c r="F27" s="157"/>
      <c r="G27" s="157"/>
    </row>
    <row r="28" customFormat="false" ht="15.75" hidden="false" customHeight="true" outlineLevel="0" collapsed="false">
      <c r="A28" s="157" t="s">
        <v>490</v>
      </c>
      <c r="B28" s="157"/>
      <c r="C28" s="157"/>
      <c r="D28" s="157"/>
      <c r="E28" s="157"/>
      <c r="F28" s="157"/>
      <c r="G28" s="157"/>
    </row>
    <row r="29" customFormat="false" ht="15.75" hidden="false" customHeight="true" outlineLevel="0" collapsed="false">
      <c r="A29" s="157" t="s">
        <v>491</v>
      </c>
      <c r="B29" s="157"/>
      <c r="C29" s="157"/>
      <c r="D29" s="157"/>
      <c r="E29" s="157"/>
      <c r="F29" s="157"/>
      <c r="G29" s="157"/>
    </row>
    <row r="30" customFormat="false" ht="15.75" hidden="false" customHeight="true" outlineLevel="0" collapsed="false">
      <c r="A30" s="157" t="s">
        <v>492</v>
      </c>
      <c r="B30" s="157"/>
      <c r="C30" s="157"/>
      <c r="D30" s="157"/>
      <c r="E30" s="157"/>
      <c r="F30" s="157"/>
      <c r="G30" s="157"/>
    </row>
    <row r="31" customFormat="false" ht="15.75" hidden="false" customHeight="true" outlineLevel="0" collapsed="false">
      <c r="A31" s="157" t="s">
        <v>493</v>
      </c>
      <c r="B31" s="157"/>
      <c r="C31" s="157"/>
      <c r="D31" s="157"/>
      <c r="E31" s="157"/>
      <c r="F31" s="157"/>
      <c r="G31" s="157"/>
    </row>
    <row r="32" customFormat="false" ht="15.75" hidden="false" customHeight="true" outlineLevel="0" collapsed="false">
      <c r="A32" s="157" t="s">
        <v>478</v>
      </c>
      <c r="B32" s="157"/>
      <c r="C32" s="157"/>
      <c r="D32" s="157"/>
      <c r="E32" s="157"/>
      <c r="F32" s="157"/>
      <c r="G32" s="157"/>
    </row>
    <row r="33" customFormat="false" ht="15.75" hidden="false" customHeight="true" outlineLevel="0" collapsed="false">
      <c r="A33" s="157" t="s">
        <v>494</v>
      </c>
      <c r="B33" s="157"/>
      <c r="C33" s="157"/>
      <c r="D33" s="157"/>
      <c r="E33" s="157"/>
      <c r="F33" s="157"/>
      <c r="G33" s="157"/>
    </row>
    <row r="34" customFormat="false" ht="15.75" hidden="false" customHeight="true" outlineLevel="0" collapsed="false">
      <c r="A34" s="157" t="s">
        <v>495</v>
      </c>
      <c r="B34" s="157"/>
      <c r="C34" s="157"/>
      <c r="D34" s="157"/>
      <c r="E34" s="157"/>
      <c r="F34" s="157"/>
      <c r="G34" s="157"/>
    </row>
    <row r="35" customFormat="false" ht="15.75" hidden="false" customHeight="true" outlineLevel="0" collapsed="false">
      <c r="A35" s="157" t="s">
        <v>496</v>
      </c>
      <c r="B35" s="157"/>
      <c r="C35" s="157"/>
      <c r="D35" s="157"/>
      <c r="E35" s="157"/>
      <c r="F35" s="157"/>
      <c r="G35" s="157"/>
    </row>
    <row r="36" customFormat="false" ht="15.75" hidden="false" customHeight="true" outlineLevel="0" collapsed="false">
      <c r="A36" s="157" t="s">
        <v>497</v>
      </c>
      <c r="B36" s="157"/>
      <c r="C36" s="157"/>
      <c r="D36" s="157"/>
      <c r="E36" s="157"/>
      <c r="F36" s="157"/>
      <c r="G36" s="157"/>
    </row>
    <row r="37" customFormat="false" ht="15.75" hidden="false" customHeight="true" outlineLevel="0" collapsed="false">
      <c r="A37" s="157" t="s">
        <v>498</v>
      </c>
      <c r="B37" s="157"/>
      <c r="C37" s="157"/>
      <c r="D37" s="157"/>
      <c r="E37" s="157"/>
      <c r="F37" s="157"/>
      <c r="G37" s="157"/>
    </row>
    <row r="38" customFormat="false" ht="15.75" hidden="false" customHeight="true" outlineLevel="0" collapsed="false">
      <c r="A38" s="157" t="s">
        <v>486</v>
      </c>
      <c r="B38" s="157"/>
      <c r="C38" s="157"/>
      <c r="D38" s="157"/>
      <c r="E38" s="157"/>
      <c r="F38" s="157"/>
      <c r="G38" s="157"/>
    </row>
    <row r="39" customFormat="false" ht="15.75" hidden="false" customHeight="true" outlineLevel="0" collapsed="false">
      <c r="A39" s="157" t="s">
        <v>499</v>
      </c>
      <c r="B39" s="157"/>
      <c r="C39" s="157"/>
      <c r="D39" s="157"/>
      <c r="E39" s="157"/>
      <c r="F39" s="157"/>
      <c r="G39" s="157"/>
    </row>
    <row r="40" customFormat="false" ht="15.75" hidden="false" customHeight="true" outlineLevel="0" collapsed="false">
      <c r="A40" s="157" t="s">
        <v>488</v>
      </c>
      <c r="B40" s="157"/>
      <c r="C40" s="157"/>
      <c r="D40" s="157"/>
      <c r="E40" s="157"/>
      <c r="F40" s="157"/>
      <c r="G40" s="157"/>
    </row>
    <row r="41" customFormat="false" ht="15.75" hidden="false" customHeight="true" outlineLevel="0" collapsed="false">
      <c r="A41" s="157" t="s">
        <v>500</v>
      </c>
      <c r="B41" s="157"/>
      <c r="C41" s="157"/>
      <c r="D41" s="157"/>
      <c r="E41" s="157"/>
      <c r="F41" s="157"/>
      <c r="G41" s="157"/>
    </row>
    <row r="42" customFormat="false" ht="15.75" hidden="false" customHeight="true" outlineLevel="0" collapsed="false">
      <c r="A42" s="157" t="s">
        <v>490</v>
      </c>
      <c r="B42" s="157"/>
      <c r="C42" s="157"/>
      <c r="D42" s="157"/>
      <c r="E42" s="157"/>
      <c r="F42" s="157"/>
      <c r="G42" s="157"/>
    </row>
    <row r="43" customFormat="false" ht="15.75" hidden="false" customHeight="true" outlineLevel="0" collapsed="false">
      <c r="A43" s="157" t="s">
        <v>491</v>
      </c>
      <c r="B43" s="157"/>
      <c r="C43" s="157"/>
      <c r="D43" s="157"/>
      <c r="E43" s="157"/>
      <c r="F43" s="157"/>
      <c r="G43" s="157"/>
    </row>
    <row r="44" customFormat="false" ht="15.75" hidden="false" customHeight="true" outlineLevel="0" collapsed="false">
      <c r="A44" s="157" t="s">
        <v>492</v>
      </c>
      <c r="B44" s="157"/>
      <c r="C44" s="157"/>
      <c r="D44" s="157"/>
      <c r="E44" s="157"/>
      <c r="F44" s="157"/>
      <c r="G44" s="157"/>
    </row>
    <row r="45" customFormat="false" ht="15.75" hidden="false" customHeight="true" outlineLevel="0" collapsed="false">
      <c r="A45" s="157" t="s">
        <v>501</v>
      </c>
      <c r="B45" s="157"/>
      <c r="C45" s="157"/>
      <c r="D45" s="157"/>
      <c r="E45" s="157"/>
      <c r="F45" s="157"/>
      <c r="G45" s="157"/>
    </row>
    <row r="46" customFormat="false" ht="15.75" hidden="false" customHeight="true" outlineLevel="0" collapsed="false">
      <c r="A46" s="157" t="s">
        <v>478</v>
      </c>
      <c r="B46" s="157"/>
      <c r="C46" s="157"/>
      <c r="D46" s="157"/>
      <c r="E46" s="157"/>
      <c r="F46" s="157"/>
      <c r="G46" s="157"/>
    </row>
    <row r="47" customFormat="false" ht="15.75" hidden="false" customHeight="true" outlineLevel="0" collapsed="false">
      <c r="A47" s="157" t="s">
        <v>502</v>
      </c>
      <c r="B47" s="157"/>
      <c r="C47" s="157"/>
      <c r="D47" s="157"/>
      <c r="E47" s="157"/>
      <c r="F47" s="157"/>
      <c r="G47" s="157"/>
    </row>
    <row r="48" customFormat="false" ht="15.75" hidden="false" customHeight="true" outlineLevel="0" collapsed="false">
      <c r="A48" s="157" t="s">
        <v>503</v>
      </c>
      <c r="B48" s="157"/>
      <c r="C48" s="157"/>
      <c r="D48" s="157"/>
      <c r="E48" s="157"/>
      <c r="F48" s="157"/>
      <c r="G48" s="157"/>
    </row>
    <row r="49" customFormat="false" ht="15.75" hidden="false" customHeight="true" outlineLevel="0" collapsed="false">
      <c r="A49" s="157" t="s">
        <v>478</v>
      </c>
      <c r="B49" s="157"/>
      <c r="C49" s="157"/>
      <c r="D49" s="157"/>
      <c r="E49" s="157"/>
      <c r="F49" s="157"/>
      <c r="G49" s="157"/>
    </row>
    <row r="50" customFormat="false" ht="15.75" hidden="false" customHeight="true" outlineLevel="0" collapsed="false">
      <c r="A50" s="157" t="s">
        <v>504</v>
      </c>
      <c r="B50" s="157"/>
      <c r="C50" s="157"/>
      <c r="D50" s="157"/>
      <c r="E50" s="157"/>
      <c r="F50" s="157"/>
      <c r="G50" s="157"/>
    </row>
    <row r="51" customFormat="false" ht="15.75" hidden="false" customHeight="true" outlineLevel="0" collapsed="false">
      <c r="A51" s="157" t="s">
        <v>505</v>
      </c>
      <c r="B51" s="157"/>
      <c r="C51" s="157"/>
      <c r="D51" s="157"/>
      <c r="E51" s="157"/>
      <c r="F51" s="157"/>
      <c r="G51" s="157"/>
    </row>
  </sheetData>
  <mergeCells count="49">
    <mergeCell ref="A1:G1"/>
    <mergeCell ref="B3:G3"/>
    <mergeCell ref="B4:G4"/>
    <mergeCell ref="B5:G5"/>
    <mergeCell ref="B6:G6"/>
    <mergeCell ref="B7:G7"/>
    <mergeCell ref="B8:G8"/>
    <mergeCell ref="B9:G9"/>
    <mergeCell ref="A11:G11"/>
    <mergeCell ref="A12:G12"/>
    <mergeCell ref="A13:G13"/>
    <mergeCell ref="A14:G14"/>
    <mergeCell ref="A15:G15"/>
    <mergeCell ref="A16:G16"/>
    <mergeCell ref="A17:G17"/>
    <mergeCell ref="A18:G18"/>
    <mergeCell ref="A19:G19"/>
    <mergeCell ref="A20:G20"/>
    <mergeCell ref="A21:G21"/>
    <mergeCell ref="A22:G22"/>
    <mergeCell ref="A23:G23"/>
    <mergeCell ref="A24:G24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37:G37"/>
    <mergeCell ref="A38:G38"/>
    <mergeCell ref="A39:G39"/>
    <mergeCell ref="A40:G40"/>
    <mergeCell ref="A41:G41"/>
    <mergeCell ref="A42:G42"/>
    <mergeCell ref="A43:G43"/>
    <mergeCell ref="A44:G44"/>
    <mergeCell ref="A45:G45"/>
    <mergeCell ref="A46:G46"/>
    <mergeCell ref="A47:G47"/>
    <mergeCell ref="A48:G48"/>
    <mergeCell ref="A49:G49"/>
    <mergeCell ref="A50:G50"/>
    <mergeCell ref="A51:G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sheetData>
    <row r="1" customFormat="false" ht="14.25" hidden="false" customHeight="true" outlineLevel="0" collapsed="false">
      <c r="A1" s="1" t="s">
        <v>99</v>
      </c>
      <c r="B1" s="158" t="s">
        <v>506</v>
      </c>
      <c r="C1" s="158" t="s">
        <v>507</v>
      </c>
      <c r="D1" s="158" t="s">
        <v>508</v>
      </c>
      <c r="E1" s="158" t="s">
        <v>509</v>
      </c>
      <c r="F1" s="158" t="s">
        <v>510</v>
      </c>
      <c r="G1" s="158" t="s">
        <v>511</v>
      </c>
      <c r="H1" s="158" t="s">
        <v>512</v>
      </c>
      <c r="I1" s="158" t="s">
        <v>513</v>
      </c>
      <c r="J1" s="158" t="s">
        <v>514</v>
      </c>
      <c r="K1" s="158" t="s">
        <v>515</v>
      </c>
      <c r="L1" s="158" t="s">
        <v>516</v>
      </c>
      <c r="M1" s="158" t="s">
        <v>517</v>
      </c>
      <c r="N1" s="158" t="s">
        <v>518</v>
      </c>
      <c r="O1" s="158" t="s">
        <v>519</v>
      </c>
      <c r="P1" s="158" t="s">
        <v>520</v>
      </c>
      <c r="Q1" s="158" t="s">
        <v>521</v>
      </c>
      <c r="R1" s="158" t="s">
        <v>522</v>
      </c>
      <c r="S1" s="158" t="s">
        <v>523</v>
      </c>
      <c r="T1" s="158" t="s">
        <v>524</v>
      </c>
      <c r="U1" s="158" t="s">
        <v>525</v>
      </c>
      <c r="V1" s="158" t="s">
        <v>526</v>
      </c>
      <c r="W1" s="158" t="s">
        <v>527</v>
      </c>
      <c r="X1" s="158" t="s">
        <v>528</v>
      </c>
      <c r="Y1" s="158" t="s">
        <v>529</v>
      </c>
    </row>
    <row r="2" customFormat="false" ht="14.25" hidden="false" customHeight="true" outlineLevel="0" collapsed="false">
      <c r="A2" s="1" t="s">
        <v>48</v>
      </c>
      <c r="B2" s="159" t="n">
        <f aca="false">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</f>
        <v>25</v>
      </c>
      <c r="C2" s="159" t="n">
        <f aca="false">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</f>
        <v>26</v>
      </c>
      <c r="D2" s="159" t="n">
        <f aca="false">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</f>
        <v>12</v>
      </c>
      <c r="E2" s="159" t="n">
        <f aca="false">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</f>
        <v>0</v>
      </c>
      <c r="F2" s="159" t="n">
        <f aca="false">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</f>
        <v>0</v>
      </c>
      <c r="G2" s="159" t="n">
        <f aca="false">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</f>
        <v>0</v>
      </c>
      <c r="H2" s="159" t="n">
        <f aca="false">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</f>
        <v>0</v>
      </c>
      <c r="I2" s="159" t="n">
        <f aca="false">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</f>
        <v>0</v>
      </c>
      <c r="J2" s="159" t="n">
        <f aca="false">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</f>
        <v>0</v>
      </c>
      <c r="K2" s="159" t="n">
        <f aca="false">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</f>
        <v>0</v>
      </c>
      <c r="L2" s="159" t="n">
        <f aca="false">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</f>
        <v>0</v>
      </c>
      <c r="M2" s="159" t="n">
        <f aca="false">IFERROR(IF('Race Results'!$E$13=A2,25,0)+IF('Race Results'!$G$13=A2,18,0)+IF('Race Results'!$H$13=A2,15,0)+IF('Race Results'!$I$13=A2,12,0)+IF('Race Results'!$J$13=A2,10,0)+IF('Race Results'!$K$13=A2,8,0)+IF('Race Results'!$L$13=A2,6,0)+IF('Race Results'!$M$13=A2,4,0)+IF('Race Results'!$N$13=A2,2,0)+IF('Race Results'!$O$13=A2,1,0)+IF(AND('Race Results'!$Q$13=A2,'Race Results'!$R$13="Yes"),1,0)+IF('Sprint Results'!$E$5=A2,8,0)+IF('Sprint Results'!$F$5=A2,7,0)+IF('Sprint Results'!$G$5=A2,6,0)+IF('Sprint Results'!$H$5=A2,5,0)+IF('Sprint Results'!$I$5=A2,4,0)+IF('Sprint Results'!$J$5=A2,3,0)+IF('Sprint Results'!$K$5=A2,2,0)+IF('Sprint Results'!$L$5=A2,1,0),0)</f>
        <v>0</v>
      </c>
      <c r="N2" s="159" t="n">
        <f aca="false">IFERROR(IF('Race Results'!$E$14=A2,25,0)+IF('Race Results'!$G$14=A2,18,0)+IF('Race Results'!$H$14=A2,15,0)+IF('Race Results'!$I$14=A2,12,0)+IF('Race Results'!$J$14=A2,10,0)+IF('Race Results'!$K$14=A2,8,0)+IF('Race Results'!$L$14=A2,6,0)+IF('Race Results'!$M$14=A2,4,0)+IF('Race Results'!$N$14=A2,2,0)+IF('Race Results'!$O$14=A2,1,0)+IF(AND('Race Results'!$Q$14=A2,'Race Results'!$R$14="Yes"),1,0),0)</f>
        <v>0</v>
      </c>
      <c r="O2" s="159" t="n">
        <f aca="false">IFERROR(IF('Race Results'!$E$15=A2,25,0)+IF('Race Results'!$G$15=A2,18,0)+IF('Race Results'!$H$15=A2,15,0)+IF('Race Results'!$I$15=A2,12,0)+IF('Race Results'!$J$15=A2,10,0)+IF('Race Results'!$K$15=A2,8,0)+IF('Race Results'!$L$15=A2,6,0)+IF('Race Results'!$M$15=A2,4,0)+IF('Race Results'!$N$15=A2,2,0)+IF('Race Results'!$O$15=A2,1,0)+IF(AND('Race Results'!$Q$15=A2,'Race Results'!$R$15="Yes"),1,0),0)</f>
        <v>0</v>
      </c>
      <c r="P2" s="159" t="n">
        <f aca="false">IFERROR(IF('Race Results'!$E$16=A2,25,0)+IF('Race Results'!$G$16=A2,18,0)+IF('Race Results'!$H$16=A2,15,0)+IF('Race Results'!$I$16=A2,12,0)+IF('Race Results'!$J$16=A2,10,0)+IF('Race Results'!$K$16=A2,8,0)+IF('Race Results'!$L$16=A2,6,0)+IF('Race Results'!$M$16=A2,4,0)+IF('Race Results'!$N$16=A2,2,0)+IF('Race Results'!$O$16=A2,1,0)+IF(AND('Race Results'!$Q$16=A2,'Race Results'!$R$16="Yes"),1,0)+IF('Sprint Results'!$E$6=A2,8,0)+IF('Sprint Results'!$F$6=A2,7,0)+IF('Sprint Results'!$G$6=A2,6,0)+IF('Sprint Results'!$H$6=A2,5,0)+IF('Sprint Results'!$I$6=A2,4,0)+IF('Sprint Results'!$J$6=A2,3,0)+IF('Sprint Results'!$K$6=A2,2,0)+IF('Sprint Results'!$L$6=A2,1,0),0)</f>
        <v>0</v>
      </c>
      <c r="Q2" s="159" t="n">
        <f aca="false">IFERROR(IF('Race Results'!$E$17=A2,25,0)+IF('Race Results'!$G$17=A2,18,0)+IF('Race Results'!$H$17=A2,15,0)+IF('Race Results'!$I$17=A2,12,0)+IF('Race Results'!$J$17=A2,10,0)+IF('Race Results'!$K$17=A2,8,0)+IF('Race Results'!$L$17=A2,6,0)+IF('Race Results'!$M$17=A2,4,0)+IF('Race Results'!$N$17=A2,2,0)+IF('Race Results'!$O$17=A2,1,0)+IF(AND('Race Results'!$Q$17=A2,'Race Results'!$R$17="Yes"),1,0),0)</f>
        <v>0</v>
      </c>
      <c r="R2" s="159" t="n">
        <f aca="false">IFERROR(IF('Race Results'!$E$18=A2,25,0)+IF('Race Results'!$G$18=A2,18,0)+IF('Race Results'!$H$18=A2,15,0)+IF('Race Results'!$I$18=A2,12,0)+IF('Race Results'!$J$18=A2,10,0)+IF('Race Results'!$K$18=A2,8,0)+IF('Race Results'!$L$18=A2,6,0)+IF('Race Results'!$M$18=A2,4,0)+IF('Race Results'!$N$18=A2,2,0)+IF('Race Results'!$O$18=A2,1,0)+IF(AND('Race Results'!$Q$18=A2,'Race Results'!$R$18="Yes"),1,0),0)</f>
        <v>0</v>
      </c>
      <c r="S2" s="159" t="n">
        <f aca="false">IFERROR(IF('Race Results'!$E$19=A2,25,0)+IF('Race Results'!$G$19=A2,18,0)+IF('Race Results'!$H$19=A2,15,0)+IF('Race Results'!$I$19=A2,12,0)+IF('Race Results'!$J$19=A2,10,0)+IF('Race Results'!$K$19=A2,8,0)+IF('Race Results'!$L$19=A2,6,0)+IF('Race Results'!$M$19=A2,4,0)+IF('Race Results'!$N$19=A2,2,0)+IF('Race Results'!$O$19=A2,1,0)+IF(AND('Race Results'!$Q$19=A2,'Race Results'!$R$19="Yes"),1,0)+IF('Sprint Results'!$E$7=A2,8,0)+IF('Sprint Results'!$F$7=A2,7,0)+IF('Sprint Results'!$G$7=A2,6,0)+IF('Sprint Results'!$H$7=A2,5,0)+IF('Sprint Results'!$I$7=A2,4,0)+IF('Sprint Results'!$J$7=A2,3,0)+IF('Sprint Results'!$K$7=A2,2,0)+IF('Sprint Results'!$L$7=A2,1,0),0)</f>
        <v>0</v>
      </c>
      <c r="T2" s="159" t="n">
        <f aca="false">IFERROR(IF('Race Results'!$E$20=A2,25,0)+IF('Race Results'!$G$20=A2,18,0)+IF('Race Results'!$H$20=A2,15,0)+IF('Race Results'!$I$20=A2,12,0)+IF('Race Results'!$J$20=A2,10,0)+IF('Race Results'!$K$20=A2,8,0)+IF('Race Results'!$L$20=A2,6,0)+IF('Race Results'!$M$20=A2,4,0)+IF('Race Results'!$N$20=A2,2,0)+IF('Race Results'!$O$20=A2,1,0)+IF(AND('Race Results'!$Q$20=A2,'Race Results'!$R$20="Yes"),1,0),0)</f>
        <v>0</v>
      </c>
      <c r="U2" s="159" t="n">
        <f aca="false">IFERROR(IF('Race Results'!$E$21=A2,25,0)+IF('Race Results'!$G$21=A2,18,0)+IF('Race Results'!$H$21=A2,15,0)+IF('Race Results'!$I$21=A2,12,0)+IF('Race Results'!$J$21=A2,10,0)+IF('Race Results'!$K$21=A2,8,0)+IF('Race Results'!$L$21=A2,6,0)+IF('Race Results'!$M$21=A2,4,0)+IF('Race Results'!$N$21=A2,2,0)+IF('Race Results'!$O$21=A2,1,0)+IF(AND('Race Results'!$Q$21=A2,'Race Results'!$R$21="Yes"),1,0),0)</f>
        <v>0</v>
      </c>
      <c r="V2" s="159" t="n">
        <f aca="false">IFERROR(IF('Race Results'!$E$22=A2,25,0)+IF('Race Results'!$G$22=A2,18,0)+IF('Race Results'!$H$22=A2,15,0)+IF('Race Results'!$I$22=A2,12,0)+IF('Race Results'!$J$22=A2,10,0)+IF('Race Results'!$K$22=A2,8,0)+IF('Race Results'!$L$22=A2,6,0)+IF('Race Results'!$M$22=A2,4,0)+IF('Race Results'!$N$22=A2,2,0)+IF('Race Results'!$O$22=A2,1,0)+IF(AND('Race Results'!$Q$22=A2,'Race Results'!$R$22="Yes"),1,0),0)</f>
        <v>0</v>
      </c>
      <c r="W2" s="159" t="n">
        <f aca="false">IFERROR(IF('Race Results'!$E$23=A2,25,0)+IF('Race Results'!$G$23=A2,18,0)+IF('Race Results'!$H$23=A2,15,0)+IF('Race Results'!$I$23=A2,12,0)+IF('Race Results'!$J$23=A2,10,0)+IF('Race Results'!$K$23=A2,8,0)+IF('Race Results'!$L$23=A2,6,0)+IF('Race Results'!$M$23=A2,4,0)+IF('Race Results'!$N$23=A2,2,0)+IF('Race Results'!$O$23=A2,1,0)+IF(AND('Race Results'!$Q$23=A2,'Race Results'!$R$23="Yes"),1,0),0)</f>
        <v>0</v>
      </c>
      <c r="X2" s="159" t="n">
        <f aca="false">IFERROR(IF('Race Results'!$E$24=A2,25,0)+IF('Race Results'!$G$24=A2,18,0)+IF('Race Results'!$H$24=A2,15,0)+IF('Race Results'!$I$24=A2,12,0)+IF('Race Results'!$J$24=A2,10,0)+IF('Race Results'!$K$24=A2,8,0)+IF('Race Results'!$L$24=A2,6,0)+IF('Race Results'!$M$24=A2,4,0)+IF('Race Results'!$N$24=A2,2,0)+IF('Race Results'!$O$24=A2,1,0)+IF(AND('Race Results'!$Q$24=A2,'Race Results'!$R$24="Yes"),1,0),0)</f>
        <v>0</v>
      </c>
      <c r="Y2" s="159" t="n">
        <f aca="false">IFERROR(IF('Race Results'!$E$25=A2,25,0)+IF('Race Results'!$G$25=A2,18,0)+IF('Race Results'!$H$25=A2,15,0)+IF('Race Results'!$I$25=A2,12,0)+IF('Race Results'!$J$25=A2,10,0)+IF('Race Results'!$K$25=A2,8,0)+IF('Race Results'!$L$25=A2,6,0)+IF('Race Results'!$M$25=A2,4,0)+IF('Race Results'!$N$25=A2,2,0)+IF('Race Results'!$O$25=A2,1,0)+IF(AND('Race Results'!$Q$25=A2,'Race Results'!$R$25="Yes"),1,0),0)</f>
        <v>0</v>
      </c>
    </row>
    <row r="3" customFormat="false" ht="14.25" hidden="false" customHeight="true" outlineLevel="0" collapsed="false">
      <c r="A3" s="1" t="s">
        <v>49</v>
      </c>
      <c r="B3" s="159" t="n">
        <f aca="false">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</f>
        <v>18</v>
      </c>
      <c r="C3" s="159" t="n">
        <f aca="false">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</f>
        <v>29</v>
      </c>
      <c r="D3" s="159" t="n">
        <f aca="false">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</f>
        <v>25</v>
      </c>
      <c r="E3" s="159" t="n">
        <f aca="false">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</f>
        <v>0</v>
      </c>
      <c r="F3" s="159" t="n">
        <f aca="false">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</f>
        <v>0</v>
      </c>
      <c r="G3" s="159" t="n">
        <f aca="false">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</f>
        <v>0</v>
      </c>
      <c r="H3" s="159" t="n">
        <f aca="false">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</f>
        <v>0</v>
      </c>
      <c r="I3" s="159" t="n">
        <f aca="false">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</f>
        <v>0</v>
      </c>
      <c r="J3" s="159" t="n">
        <f aca="false">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</f>
        <v>0</v>
      </c>
      <c r="K3" s="159" t="n">
        <f aca="false">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</f>
        <v>0</v>
      </c>
      <c r="L3" s="159" t="n">
        <f aca="false">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</f>
        <v>0</v>
      </c>
      <c r="M3" s="159" t="n">
        <f aca="false">IFERROR(IF('Race Results'!$E$13=A3,25,0)+IF('Race Results'!$G$13=A3,18,0)+IF('Race Results'!$H$13=A3,15,0)+IF('Race Results'!$I$13=A3,12,0)+IF('Race Results'!$J$13=A3,10,0)+IF('Race Results'!$K$13=A3,8,0)+IF('Race Results'!$L$13=A3,6,0)+IF('Race Results'!$M$13=A3,4,0)+IF('Race Results'!$N$13=A3,2,0)+IF('Race Results'!$O$13=A3,1,0)+IF(AND('Race Results'!$Q$13=A3,'Race Results'!$R$13="Yes"),1,0)+IF('Sprint Results'!$E$5=A3,8,0)+IF('Sprint Results'!$F$5=A3,7,0)+IF('Sprint Results'!$G$5=A3,6,0)+IF('Sprint Results'!$H$5=A3,5,0)+IF('Sprint Results'!$I$5=A3,4,0)+IF('Sprint Results'!$J$5=A3,3,0)+IF('Sprint Results'!$K$5=A3,2,0)+IF('Sprint Results'!$L$5=A3,1,0),0)</f>
        <v>0</v>
      </c>
      <c r="N3" s="159" t="n">
        <f aca="false">IFERROR(IF('Race Results'!$E$14=A3,25,0)+IF('Race Results'!$G$14=A3,18,0)+IF('Race Results'!$H$14=A3,15,0)+IF('Race Results'!$I$14=A3,12,0)+IF('Race Results'!$J$14=A3,10,0)+IF('Race Results'!$K$14=A3,8,0)+IF('Race Results'!$L$14=A3,6,0)+IF('Race Results'!$M$14=A3,4,0)+IF('Race Results'!$N$14=A3,2,0)+IF('Race Results'!$O$14=A3,1,0)+IF(AND('Race Results'!$Q$14=A3,'Race Results'!$R$14="Yes"),1,0),0)</f>
        <v>0</v>
      </c>
      <c r="O3" s="159" t="n">
        <f aca="false">IFERROR(IF('Race Results'!$E$15=A3,25,0)+IF('Race Results'!$G$15=A3,18,0)+IF('Race Results'!$H$15=A3,15,0)+IF('Race Results'!$I$15=A3,12,0)+IF('Race Results'!$J$15=A3,10,0)+IF('Race Results'!$K$15=A3,8,0)+IF('Race Results'!$L$15=A3,6,0)+IF('Race Results'!$M$15=A3,4,0)+IF('Race Results'!$N$15=A3,2,0)+IF('Race Results'!$O$15=A3,1,0)+IF(AND('Race Results'!$Q$15=A3,'Race Results'!$R$15="Yes"),1,0),0)</f>
        <v>0</v>
      </c>
      <c r="P3" s="159" t="n">
        <f aca="false">IFERROR(IF('Race Results'!$E$16=A3,25,0)+IF('Race Results'!$G$16=A3,18,0)+IF('Race Results'!$H$16=A3,15,0)+IF('Race Results'!$I$16=A3,12,0)+IF('Race Results'!$J$16=A3,10,0)+IF('Race Results'!$K$16=A3,8,0)+IF('Race Results'!$L$16=A3,6,0)+IF('Race Results'!$M$16=A3,4,0)+IF('Race Results'!$N$16=A3,2,0)+IF('Race Results'!$O$16=A3,1,0)+IF(AND('Race Results'!$Q$16=A3,'Race Results'!$R$16="Yes"),1,0)+IF('Sprint Results'!$E$6=A3,8,0)+IF('Sprint Results'!$F$6=A3,7,0)+IF('Sprint Results'!$G$6=A3,6,0)+IF('Sprint Results'!$H$6=A3,5,0)+IF('Sprint Results'!$I$6=A3,4,0)+IF('Sprint Results'!$J$6=A3,3,0)+IF('Sprint Results'!$K$6=A3,2,0)+IF('Sprint Results'!$L$6=A3,1,0),0)</f>
        <v>0</v>
      </c>
      <c r="Q3" s="159" t="n">
        <f aca="false">IFERROR(IF('Race Results'!$E$17=A3,25,0)+IF('Race Results'!$G$17=A3,18,0)+IF('Race Results'!$H$17=A3,15,0)+IF('Race Results'!$I$17=A3,12,0)+IF('Race Results'!$J$17=A3,10,0)+IF('Race Results'!$K$17=A3,8,0)+IF('Race Results'!$L$17=A3,6,0)+IF('Race Results'!$M$17=A3,4,0)+IF('Race Results'!$N$17=A3,2,0)+IF('Race Results'!$O$17=A3,1,0)+IF(AND('Race Results'!$Q$17=A3,'Race Results'!$R$17="Yes"),1,0),0)</f>
        <v>0</v>
      </c>
      <c r="R3" s="159" t="n">
        <f aca="false">IFERROR(IF('Race Results'!$E$18=A3,25,0)+IF('Race Results'!$G$18=A3,18,0)+IF('Race Results'!$H$18=A3,15,0)+IF('Race Results'!$I$18=A3,12,0)+IF('Race Results'!$J$18=A3,10,0)+IF('Race Results'!$K$18=A3,8,0)+IF('Race Results'!$L$18=A3,6,0)+IF('Race Results'!$M$18=A3,4,0)+IF('Race Results'!$N$18=A3,2,0)+IF('Race Results'!$O$18=A3,1,0)+IF(AND('Race Results'!$Q$18=A3,'Race Results'!$R$18="Yes"),1,0),0)</f>
        <v>0</v>
      </c>
      <c r="S3" s="159" t="n">
        <f aca="false">IFERROR(IF('Race Results'!$E$19=A3,25,0)+IF('Race Results'!$G$19=A3,18,0)+IF('Race Results'!$H$19=A3,15,0)+IF('Race Results'!$I$19=A3,12,0)+IF('Race Results'!$J$19=A3,10,0)+IF('Race Results'!$K$19=A3,8,0)+IF('Race Results'!$L$19=A3,6,0)+IF('Race Results'!$M$19=A3,4,0)+IF('Race Results'!$N$19=A3,2,0)+IF('Race Results'!$O$19=A3,1,0)+IF(AND('Race Results'!$Q$19=A3,'Race Results'!$R$19="Yes"),1,0)+IF('Sprint Results'!$E$7=A3,8,0)+IF('Sprint Results'!$F$7=A3,7,0)+IF('Sprint Results'!$G$7=A3,6,0)+IF('Sprint Results'!$H$7=A3,5,0)+IF('Sprint Results'!$I$7=A3,4,0)+IF('Sprint Results'!$J$7=A3,3,0)+IF('Sprint Results'!$K$7=A3,2,0)+IF('Sprint Results'!$L$7=A3,1,0),0)</f>
        <v>0</v>
      </c>
      <c r="T3" s="159" t="n">
        <f aca="false">IFERROR(IF('Race Results'!$E$20=A3,25,0)+IF('Race Results'!$G$20=A3,18,0)+IF('Race Results'!$H$20=A3,15,0)+IF('Race Results'!$I$20=A3,12,0)+IF('Race Results'!$J$20=A3,10,0)+IF('Race Results'!$K$20=A3,8,0)+IF('Race Results'!$L$20=A3,6,0)+IF('Race Results'!$M$20=A3,4,0)+IF('Race Results'!$N$20=A3,2,0)+IF('Race Results'!$O$20=A3,1,0)+IF(AND('Race Results'!$Q$20=A3,'Race Results'!$R$20="Yes"),1,0),0)</f>
        <v>0</v>
      </c>
      <c r="U3" s="159" t="n">
        <f aca="false">IFERROR(IF('Race Results'!$E$21=A3,25,0)+IF('Race Results'!$G$21=A3,18,0)+IF('Race Results'!$H$21=A3,15,0)+IF('Race Results'!$I$21=A3,12,0)+IF('Race Results'!$J$21=A3,10,0)+IF('Race Results'!$K$21=A3,8,0)+IF('Race Results'!$L$21=A3,6,0)+IF('Race Results'!$M$21=A3,4,0)+IF('Race Results'!$N$21=A3,2,0)+IF('Race Results'!$O$21=A3,1,0)+IF(AND('Race Results'!$Q$21=A3,'Race Results'!$R$21="Yes"),1,0),0)</f>
        <v>0</v>
      </c>
      <c r="V3" s="159" t="n">
        <f aca="false">IFERROR(IF('Race Results'!$E$22=A3,25,0)+IF('Race Results'!$G$22=A3,18,0)+IF('Race Results'!$H$22=A3,15,0)+IF('Race Results'!$I$22=A3,12,0)+IF('Race Results'!$J$22=A3,10,0)+IF('Race Results'!$K$22=A3,8,0)+IF('Race Results'!$L$22=A3,6,0)+IF('Race Results'!$M$22=A3,4,0)+IF('Race Results'!$N$22=A3,2,0)+IF('Race Results'!$O$22=A3,1,0)+IF(AND('Race Results'!$Q$22=A3,'Race Results'!$R$22="Yes"),1,0),0)</f>
        <v>0</v>
      </c>
      <c r="W3" s="159" t="n">
        <f aca="false">IFERROR(IF('Race Results'!$E$23=A3,25,0)+IF('Race Results'!$G$23=A3,18,0)+IF('Race Results'!$H$23=A3,15,0)+IF('Race Results'!$I$23=A3,12,0)+IF('Race Results'!$J$23=A3,10,0)+IF('Race Results'!$K$23=A3,8,0)+IF('Race Results'!$L$23=A3,6,0)+IF('Race Results'!$M$23=A3,4,0)+IF('Race Results'!$N$23=A3,2,0)+IF('Race Results'!$O$23=A3,1,0)+IF(AND('Race Results'!$Q$23=A3,'Race Results'!$R$23="Yes"),1,0),0)</f>
        <v>0</v>
      </c>
      <c r="X3" s="159" t="n">
        <f aca="false">IFERROR(IF('Race Results'!$E$24=A3,25,0)+IF('Race Results'!$G$24=A3,18,0)+IF('Race Results'!$H$24=A3,15,0)+IF('Race Results'!$I$24=A3,12,0)+IF('Race Results'!$J$24=A3,10,0)+IF('Race Results'!$K$24=A3,8,0)+IF('Race Results'!$L$24=A3,6,0)+IF('Race Results'!$M$24=A3,4,0)+IF('Race Results'!$N$24=A3,2,0)+IF('Race Results'!$O$24=A3,1,0)+IF(AND('Race Results'!$Q$24=A3,'Race Results'!$R$24="Yes"),1,0),0)</f>
        <v>0</v>
      </c>
      <c r="Y3" s="159" t="n">
        <f aca="false">IFERROR(IF('Race Results'!$E$25=A3,25,0)+IF('Race Results'!$G$25=A3,18,0)+IF('Race Results'!$H$25=A3,15,0)+IF('Race Results'!$I$25=A3,12,0)+IF('Race Results'!$J$25=A3,10,0)+IF('Race Results'!$K$25=A3,8,0)+IF('Race Results'!$L$25=A3,6,0)+IF('Race Results'!$M$25=A3,4,0)+IF('Race Results'!$N$25=A3,2,0)+IF('Race Results'!$O$25=A3,1,0)+IF(AND('Race Results'!$Q$25=A3,'Race Results'!$R$25="Yes"),1,0),0)</f>
        <v>0</v>
      </c>
    </row>
    <row r="4" customFormat="false" ht="14.25" hidden="false" customHeight="true" outlineLevel="0" collapsed="false">
      <c r="A4" s="1" t="s">
        <v>50</v>
      </c>
      <c r="B4" s="159" t="n">
        <f aca="false">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</f>
        <v>15</v>
      </c>
      <c r="C4" s="159" t="n">
        <f aca="false">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</f>
        <v>19</v>
      </c>
      <c r="D4" s="159" t="n">
        <f aca="false">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</f>
        <v>15</v>
      </c>
      <c r="E4" s="159" t="n">
        <f aca="false">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</f>
        <v>0</v>
      </c>
      <c r="F4" s="159" t="n">
        <f aca="false">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</f>
        <v>0</v>
      </c>
      <c r="G4" s="159" t="n">
        <f aca="false">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</f>
        <v>0</v>
      </c>
      <c r="H4" s="159" t="n">
        <f aca="false">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</f>
        <v>0</v>
      </c>
      <c r="I4" s="159" t="n">
        <f aca="false">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</f>
        <v>0</v>
      </c>
      <c r="J4" s="159" t="n">
        <f aca="false">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</f>
        <v>0</v>
      </c>
      <c r="K4" s="159" t="n">
        <f aca="false">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</f>
        <v>0</v>
      </c>
      <c r="L4" s="159" t="n">
        <f aca="false">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</f>
        <v>0</v>
      </c>
      <c r="M4" s="159" t="n">
        <f aca="false">IFERROR(IF('Race Results'!$E$13=A4,25,0)+IF('Race Results'!$G$13=A4,18,0)+IF('Race Results'!$H$13=A4,15,0)+IF('Race Results'!$I$13=A4,12,0)+IF('Race Results'!$J$13=A4,10,0)+IF('Race Results'!$K$13=A4,8,0)+IF('Race Results'!$L$13=A4,6,0)+IF('Race Results'!$M$13=A4,4,0)+IF('Race Results'!$N$13=A4,2,0)+IF('Race Results'!$O$13=A4,1,0)+IF(AND('Race Results'!$Q$13=A4,'Race Results'!$R$13="Yes"),1,0)+IF('Sprint Results'!$E$5=A4,8,0)+IF('Sprint Results'!$F$5=A4,7,0)+IF('Sprint Results'!$G$5=A4,6,0)+IF('Sprint Results'!$H$5=A4,5,0)+IF('Sprint Results'!$I$5=A4,4,0)+IF('Sprint Results'!$J$5=A4,3,0)+IF('Sprint Results'!$K$5=A4,2,0)+IF('Sprint Results'!$L$5=A4,1,0),0)</f>
        <v>0</v>
      </c>
      <c r="N4" s="159" t="n">
        <f aca="false">IFERROR(IF('Race Results'!$E$14=A4,25,0)+IF('Race Results'!$G$14=A4,18,0)+IF('Race Results'!$H$14=A4,15,0)+IF('Race Results'!$I$14=A4,12,0)+IF('Race Results'!$J$14=A4,10,0)+IF('Race Results'!$K$14=A4,8,0)+IF('Race Results'!$L$14=A4,6,0)+IF('Race Results'!$M$14=A4,4,0)+IF('Race Results'!$N$14=A4,2,0)+IF('Race Results'!$O$14=A4,1,0)+IF(AND('Race Results'!$Q$14=A4,'Race Results'!$R$14="Yes"),1,0),0)</f>
        <v>0</v>
      </c>
      <c r="O4" s="159" t="n">
        <f aca="false">IFERROR(IF('Race Results'!$E$15=A4,25,0)+IF('Race Results'!$G$15=A4,18,0)+IF('Race Results'!$H$15=A4,15,0)+IF('Race Results'!$I$15=A4,12,0)+IF('Race Results'!$J$15=A4,10,0)+IF('Race Results'!$K$15=A4,8,0)+IF('Race Results'!$L$15=A4,6,0)+IF('Race Results'!$M$15=A4,4,0)+IF('Race Results'!$N$15=A4,2,0)+IF('Race Results'!$O$15=A4,1,0)+IF(AND('Race Results'!$Q$15=A4,'Race Results'!$R$15="Yes"),1,0),0)</f>
        <v>0</v>
      </c>
      <c r="P4" s="159" t="n">
        <f aca="false">IFERROR(IF('Race Results'!$E$16=A4,25,0)+IF('Race Results'!$G$16=A4,18,0)+IF('Race Results'!$H$16=A4,15,0)+IF('Race Results'!$I$16=A4,12,0)+IF('Race Results'!$J$16=A4,10,0)+IF('Race Results'!$K$16=A4,8,0)+IF('Race Results'!$L$16=A4,6,0)+IF('Race Results'!$M$16=A4,4,0)+IF('Race Results'!$N$16=A4,2,0)+IF('Race Results'!$O$16=A4,1,0)+IF(AND('Race Results'!$Q$16=A4,'Race Results'!$R$16="Yes"),1,0)+IF('Sprint Results'!$E$6=A4,8,0)+IF('Sprint Results'!$F$6=A4,7,0)+IF('Sprint Results'!$G$6=A4,6,0)+IF('Sprint Results'!$H$6=A4,5,0)+IF('Sprint Results'!$I$6=A4,4,0)+IF('Sprint Results'!$J$6=A4,3,0)+IF('Sprint Results'!$K$6=A4,2,0)+IF('Sprint Results'!$L$6=A4,1,0),0)</f>
        <v>0</v>
      </c>
      <c r="Q4" s="159" t="n">
        <f aca="false">IFERROR(IF('Race Results'!$E$17=A4,25,0)+IF('Race Results'!$G$17=A4,18,0)+IF('Race Results'!$H$17=A4,15,0)+IF('Race Results'!$I$17=A4,12,0)+IF('Race Results'!$J$17=A4,10,0)+IF('Race Results'!$K$17=A4,8,0)+IF('Race Results'!$L$17=A4,6,0)+IF('Race Results'!$M$17=A4,4,0)+IF('Race Results'!$N$17=A4,2,0)+IF('Race Results'!$O$17=A4,1,0)+IF(AND('Race Results'!$Q$17=A4,'Race Results'!$R$17="Yes"),1,0),0)</f>
        <v>0</v>
      </c>
      <c r="R4" s="159" t="n">
        <f aca="false">IFERROR(IF('Race Results'!$E$18=A4,25,0)+IF('Race Results'!$G$18=A4,18,0)+IF('Race Results'!$H$18=A4,15,0)+IF('Race Results'!$I$18=A4,12,0)+IF('Race Results'!$J$18=A4,10,0)+IF('Race Results'!$K$18=A4,8,0)+IF('Race Results'!$L$18=A4,6,0)+IF('Race Results'!$M$18=A4,4,0)+IF('Race Results'!$N$18=A4,2,0)+IF('Race Results'!$O$18=A4,1,0)+IF(AND('Race Results'!$Q$18=A4,'Race Results'!$R$18="Yes"),1,0),0)</f>
        <v>0</v>
      </c>
      <c r="S4" s="159" t="n">
        <f aca="false">IFERROR(IF('Race Results'!$E$19=A4,25,0)+IF('Race Results'!$G$19=A4,18,0)+IF('Race Results'!$H$19=A4,15,0)+IF('Race Results'!$I$19=A4,12,0)+IF('Race Results'!$J$19=A4,10,0)+IF('Race Results'!$K$19=A4,8,0)+IF('Race Results'!$L$19=A4,6,0)+IF('Race Results'!$M$19=A4,4,0)+IF('Race Results'!$N$19=A4,2,0)+IF('Race Results'!$O$19=A4,1,0)+IF(AND('Race Results'!$Q$19=A4,'Race Results'!$R$19="Yes"),1,0)+IF('Sprint Results'!$E$7=A4,8,0)+IF('Sprint Results'!$F$7=A4,7,0)+IF('Sprint Results'!$G$7=A4,6,0)+IF('Sprint Results'!$H$7=A4,5,0)+IF('Sprint Results'!$I$7=A4,4,0)+IF('Sprint Results'!$J$7=A4,3,0)+IF('Sprint Results'!$K$7=A4,2,0)+IF('Sprint Results'!$L$7=A4,1,0),0)</f>
        <v>0</v>
      </c>
      <c r="T4" s="159" t="n">
        <f aca="false">IFERROR(IF('Race Results'!$E$20=A4,25,0)+IF('Race Results'!$G$20=A4,18,0)+IF('Race Results'!$H$20=A4,15,0)+IF('Race Results'!$I$20=A4,12,0)+IF('Race Results'!$J$20=A4,10,0)+IF('Race Results'!$K$20=A4,8,0)+IF('Race Results'!$L$20=A4,6,0)+IF('Race Results'!$M$20=A4,4,0)+IF('Race Results'!$N$20=A4,2,0)+IF('Race Results'!$O$20=A4,1,0)+IF(AND('Race Results'!$Q$20=A4,'Race Results'!$R$20="Yes"),1,0),0)</f>
        <v>0</v>
      </c>
      <c r="U4" s="159" t="n">
        <f aca="false">IFERROR(IF('Race Results'!$E$21=A4,25,0)+IF('Race Results'!$G$21=A4,18,0)+IF('Race Results'!$H$21=A4,15,0)+IF('Race Results'!$I$21=A4,12,0)+IF('Race Results'!$J$21=A4,10,0)+IF('Race Results'!$K$21=A4,8,0)+IF('Race Results'!$L$21=A4,6,0)+IF('Race Results'!$M$21=A4,4,0)+IF('Race Results'!$N$21=A4,2,0)+IF('Race Results'!$O$21=A4,1,0)+IF(AND('Race Results'!$Q$21=A4,'Race Results'!$R$21="Yes"),1,0),0)</f>
        <v>0</v>
      </c>
      <c r="V4" s="159" t="n">
        <f aca="false">IFERROR(IF('Race Results'!$E$22=A4,25,0)+IF('Race Results'!$G$22=A4,18,0)+IF('Race Results'!$H$22=A4,15,0)+IF('Race Results'!$I$22=A4,12,0)+IF('Race Results'!$J$22=A4,10,0)+IF('Race Results'!$K$22=A4,8,0)+IF('Race Results'!$L$22=A4,6,0)+IF('Race Results'!$M$22=A4,4,0)+IF('Race Results'!$N$22=A4,2,0)+IF('Race Results'!$O$22=A4,1,0)+IF(AND('Race Results'!$Q$22=A4,'Race Results'!$R$22="Yes"),1,0),0)</f>
        <v>0</v>
      </c>
      <c r="W4" s="159" t="n">
        <f aca="false">IFERROR(IF('Race Results'!$E$23=A4,25,0)+IF('Race Results'!$G$23=A4,18,0)+IF('Race Results'!$H$23=A4,15,0)+IF('Race Results'!$I$23=A4,12,0)+IF('Race Results'!$J$23=A4,10,0)+IF('Race Results'!$K$23=A4,8,0)+IF('Race Results'!$L$23=A4,6,0)+IF('Race Results'!$M$23=A4,4,0)+IF('Race Results'!$N$23=A4,2,0)+IF('Race Results'!$O$23=A4,1,0)+IF(AND('Race Results'!$Q$23=A4,'Race Results'!$R$23="Yes"),1,0),0)</f>
        <v>0</v>
      </c>
      <c r="X4" s="159" t="n">
        <f aca="false">IFERROR(IF('Race Results'!$E$24=A4,25,0)+IF('Race Results'!$G$24=A4,18,0)+IF('Race Results'!$H$24=A4,15,0)+IF('Race Results'!$I$24=A4,12,0)+IF('Race Results'!$J$24=A4,10,0)+IF('Race Results'!$K$24=A4,8,0)+IF('Race Results'!$L$24=A4,6,0)+IF('Race Results'!$M$24=A4,4,0)+IF('Race Results'!$N$24=A4,2,0)+IF('Race Results'!$O$24=A4,1,0)+IF(AND('Race Results'!$Q$24=A4,'Race Results'!$R$24="Yes"),1,0),0)</f>
        <v>0</v>
      </c>
      <c r="Y4" s="159" t="n">
        <f aca="false">IFERROR(IF('Race Results'!$E$25=A4,25,0)+IF('Race Results'!$G$25=A4,18,0)+IF('Race Results'!$H$25=A4,15,0)+IF('Race Results'!$I$25=A4,12,0)+IF('Race Results'!$J$25=A4,10,0)+IF('Race Results'!$K$25=A4,8,0)+IF('Race Results'!$L$25=A4,6,0)+IF('Race Results'!$M$25=A4,4,0)+IF('Race Results'!$N$25=A4,2,0)+IF('Race Results'!$O$25=A4,1,0)+IF(AND('Race Results'!$Q$25=A4,'Race Results'!$R$25="Yes"),1,0),0)</f>
        <v>0</v>
      </c>
    </row>
    <row r="5" customFormat="false" ht="14.25" hidden="false" customHeight="true" outlineLevel="0" collapsed="false">
      <c r="A5" s="1" t="s">
        <v>51</v>
      </c>
      <c r="B5" s="159" t="n">
        <f aca="false">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</f>
        <v>12</v>
      </c>
      <c r="C5" s="159" t="n">
        <f aca="false">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</f>
        <v>21</v>
      </c>
      <c r="D5" s="159" t="n">
        <f aca="false">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</f>
        <v>8</v>
      </c>
      <c r="E5" s="159" t="n">
        <f aca="false">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</f>
        <v>0</v>
      </c>
      <c r="F5" s="159" t="n">
        <f aca="false">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</f>
        <v>0</v>
      </c>
      <c r="G5" s="159" t="n">
        <f aca="false">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</f>
        <v>0</v>
      </c>
      <c r="H5" s="159" t="n">
        <f aca="false">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</f>
        <v>0</v>
      </c>
      <c r="I5" s="159" t="n">
        <f aca="false">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</f>
        <v>0</v>
      </c>
      <c r="J5" s="159" t="n">
        <f aca="false">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</f>
        <v>0</v>
      </c>
      <c r="K5" s="159" t="n">
        <f aca="false">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</f>
        <v>0</v>
      </c>
      <c r="L5" s="159" t="n">
        <f aca="false">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</f>
        <v>0</v>
      </c>
      <c r="M5" s="159" t="n">
        <f aca="false">IFERROR(IF('Race Results'!$E$13=A5,25,0)+IF('Race Results'!$G$13=A5,18,0)+IF('Race Results'!$H$13=A5,15,0)+IF('Race Results'!$I$13=A5,12,0)+IF('Race Results'!$J$13=A5,10,0)+IF('Race Results'!$K$13=A5,8,0)+IF('Race Results'!$L$13=A5,6,0)+IF('Race Results'!$M$13=A5,4,0)+IF('Race Results'!$N$13=A5,2,0)+IF('Race Results'!$O$13=A5,1,0)+IF(AND('Race Results'!$Q$13=A5,'Race Results'!$R$13="Yes"),1,0)+IF('Sprint Results'!$E$5=A5,8,0)+IF('Sprint Results'!$F$5=A5,7,0)+IF('Sprint Results'!$G$5=A5,6,0)+IF('Sprint Results'!$H$5=A5,5,0)+IF('Sprint Results'!$I$5=A5,4,0)+IF('Sprint Results'!$J$5=A5,3,0)+IF('Sprint Results'!$K$5=A5,2,0)+IF('Sprint Results'!$L$5=A5,1,0),0)</f>
        <v>0</v>
      </c>
      <c r="N5" s="159" t="n">
        <f aca="false">IFERROR(IF('Race Results'!$E$14=A5,25,0)+IF('Race Results'!$G$14=A5,18,0)+IF('Race Results'!$H$14=A5,15,0)+IF('Race Results'!$I$14=A5,12,0)+IF('Race Results'!$J$14=A5,10,0)+IF('Race Results'!$K$14=A5,8,0)+IF('Race Results'!$L$14=A5,6,0)+IF('Race Results'!$M$14=A5,4,0)+IF('Race Results'!$N$14=A5,2,0)+IF('Race Results'!$O$14=A5,1,0)+IF(AND('Race Results'!$Q$14=A5,'Race Results'!$R$14="Yes"),1,0),0)</f>
        <v>0</v>
      </c>
      <c r="O5" s="159" t="n">
        <f aca="false">IFERROR(IF('Race Results'!$E$15=A5,25,0)+IF('Race Results'!$G$15=A5,18,0)+IF('Race Results'!$H$15=A5,15,0)+IF('Race Results'!$I$15=A5,12,0)+IF('Race Results'!$J$15=A5,10,0)+IF('Race Results'!$K$15=A5,8,0)+IF('Race Results'!$L$15=A5,6,0)+IF('Race Results'!$M$15=A5,4,0)+IF('Race Results'!$N$15=A5,2,0)+IF('Race Results'!$O$15=A5,1,0)+IF(AND('Race Results'!$Q$15=A5,'Race Results'!$R$15="Yes"),1,0),0)</f>
        <v>0</v>
      </c>
      <c r="P5" s="159" t="n">
        <f aca="false">IFERROR(IF('Race Results'!$E$16=A5,25,0)+IF('Race Results'!$G$16=A5,18,0)+IF('Race Results'!$H$16=A5,15,0)+IF('Race Results'!$I$16=A5,12,0)+IF('Race Results'!$J$16=A5,10,0)+IF('Race Results'!$K$16=A5,8,0)+IF('Race Results'!$L$16=A5,6,0)+IF('Race Results'!$M$16=A5,4,0)+IF('Race Results'!$N$16=A5,2,0)+IF('Race Results'!$O$16=A5,1,0)+IF(AND('Race Results'!$Q$16=A5,'Race Results'!$R$16="Yes"),1,0)+IF('Sprint Results'!$E$6=A5,8,0)+IF('Sprint Results'!$F$6=A5,7,0)+IF('Sprint Results'!$G$6=A5,6,0)+IF('Sprint Results'!$H$6=A5,5,0)+IF('Sprint Results'!$I$6=A5,4,0)+IF('Sprint Results'!$J$6=A5,3,0)+IF('Sprint Results'!$K$6=A5,2,0)+IF('Sprint Results'!$L$6=A5,1,0),0)</f>
        <v>0</v>
      </c>
      <c r="Q5" s="159" t="n">
        <f aca="false">IFERROR(IF('Race Results'!$E$17=A5,25,0)+IF('Race Results'!$G$17=A5,18,0)+IF('Race Results'!$H$17=A5,15,0)+IF('Race Results'!$I$17=A5,12,0)+IF('Race Results'!$J$17=A5,10,0)+IF('Race Results'!$K$17=A5,8,0)+IF('Race Results'!$L$17=A5,6,0)+IF('Race Results'!$M$17=A5,4,0)+IF('Race Results'!$N$17=A5,2,0)+IF('Race Results'!$O$17=A5,1,0)+IF(AND('Race Results'!$Q$17=A5,'Race Results'!$R$17="Yes"),1,0),0)</f>
        <v>0</v>
      </c>
      <c r="R5" s="159" t="n">
        <f aca="false">IFERROR(IF('Race Results'!$E$18=A5,25,0)+IF('Race Results'!$G$18=A5,18,0)+IF('Race Results'!$H$18=A5,15,0)+IF('Race Results'!$I$18=A5,12,0)+IF('Race Results'!$J$18=A5,10,0)+IF('Race Results'!$K$18=A5,8,0)+IF('Race Results'!$L$18=A5,6,0)+IF('Race Results'!$M$18=A5,4,0)+IF('Race Results'!$N$18=A5,2,0)+IF('Race Results'!$O$18=A5,1,0)+IF(AND('Race Results'!$Q$18=A5,'Race Results'!$R$18="Yes"),1,0),0)</f>
        <v>0</v>
      </c>
      <c r="S5" s="159" t="n">
        <f aca="false">IFERROR(IF('Race Results'!$E$19=A5,25,0)+IF('Race Results'!$G$19=A5,18,0)+IF('Race Results'!$H$19=A5,15,0)+IF('Race Results'!$I$19=A5,12,0)+IF('Race Results'!$J$19=A5,10,0)+IF('Race Results'!$K$19=A5,8,0)+IF('Race Results'!$L$19=A5,6,0)+IF('Race Results'!$M$19=A5,4,0)+IF('Race Results'!$N$19=A5,2,0)+IF('Race Results'!$O$19=A5,1,0)+IF(AND('Race Results'!$Q$19=A5,'Race Results'!$R$19="Yes"),1,0)+IF('Sprint Results'!$E$7=A5,8,0)+IF('Sprint Results'!$F$7=A5,7,0)+IF('Sprint Results'!$G$7=A5,6,0)+IF('Sprint Results'!$H$7=A5,5,0)+IF('Sprint Results'!$I$7=A5,4,0)+IF('Sprint Results'!$J$7=A5,3,0)+IF('Sprint Results'!$K$7=A5,2,0)+IF('Sprint Results'!$L$7=A5,1,0),0)</f>
        <v>0</v>
      </c>
      <c r="T5" s="159" t="n">
        <f aca="false">IFERROR(IF('Race Results'!$E$20=A5,25,0)+IF('Race Results'!$G$20=A5,18,0)+IF('Race Results'!$H$20=A5,15,0)+IF('Race Results'!$I$20=A5,12,0)+IF('Race Results'!$J$20=A5,10,0)+IF('Race Results'!$K$20=A5,8,0)+IF('Race Results'!$L$20=A5,6,0)+IF('Race Results'!$M$20=A5,4,0)+IF('Race Results'!$N$20=A5,2,0)+IF('Race Results'!$O$20=A5,1,0)+IF(AND('Race Results'!$Q$20=A5,'Race Results'!$R$20="Yes"),1,0),0)</f>
        <v>0</v>
      </c>
      <c r="U5" s="159" t="n">
        <f aca="false">IFERROR(IF('Race Results'!$E$21=A5,25,0)+IF('Race Results'!$G$21=A5,18,0)+IF('Race Results'!$H$21=A5,15,0)+IF('Race Results'!$I$21=A5,12,0)+IF('Race Results'!$J$21=A5,10,0)+IF('Race Results'!$K$21=A5,8,0)+IF('Race Results'!$L$21=A5,6,0)+IF('Race Results'!$M$21=A5,4,0)+IF('Race Results'!$N$21=A5,2,0)+IF('Race Results'!$O$21=A5,1,0)+IF(AND('Race Results'!$Q$21=A5,'Race Results'!$R$21="Yes"),1,0),0)</f>
        <v>0</v>
      </c>
      <c r="V5" s="159" t="n">
        <f aca="false">IFERROR(IF('Race Results'!$E$22=A5,25,0)+IF('Race Results'!$G$22=A5,18,0)+IF('Race Results'!$H$22=A5,15,0)+IF('Race Results'!$I$22=A5,12,0)+IF('Race Results'!$J$22=A5,10,0)+IF('Race Results'!$K$22=A5,8,0)+IF('Race Results'!$L$22=A5,6,0)+IF('Race Results'!$M$22=A5,4,0)+IF('Race Results'!$N$22=A5,2,0)+IF('Race Results'!$O$22=A5,1,0)+IF(AND('Race Results'!$Q$22=A5,'Race Results'!$R$22="Yes"),1,0),0)</f>
        <v>0</v>
      </c>
      <c r="W5" s="159" t="n">
        <f aca="false">IFERROR(IF('Race Results'!$E$23=A5,25,0)+IF('Race Results'!$G$23=A5,18,0)+IF('Race Results'!$H$23=A5,15,0)+IF('Race Results'!$I$23=A5,12,0)+IF('Race Results'!$J$23=A5,10,0)+IF('Race Results'!$K$23=A5,8,0)+IF('Race Results'!$L$23=A5,6,0)+IF('Race Results'!$M$23=A5,4,0)+IF('Race Results'!$N$23=A5,2,0)+IF('Race Results'!$O$23=A5,1,0)+IF(AND('Race Results'!$Q$23=A5,'Race Results'!$R$23="Yes"),1,0),0)</f>
        <v>0</v>
      </c>
      <c r="X5" s="159" t="n">
        <f aca="false">IFERROR(IF('Race Results'!$E$24=A5,25,0)+IF('Race Results'!$G$24=A5,18,0)+IF('Race Results'!$H$24=A5,15,0)+IF('Race Results'!$I$24=A5,12,0)+IF('Race Results'!$J$24=A5,10,0)+IF('Race Results'!$K$24=A5,8,0)+IF('Race Results'!$L$24=A5,6,0)+IF('Race Results'!$M$24=A5,4,0)+IF('Race Results'!$N$24=A5,2,0)+IF('Race Results'!$O$24=A5,1,0)+IF(AND('Race Results'!$Q$24=A5,'Race Results'!$R$24="Yes"),1,0),0)</f>
        <v>0</v>
      </c>
      <c r="Y5" s="159" t="n">
        <f aca="false">IFERROR(IF('Race Results'!$E$25=A5,25,0)+IF('Race Results'!$G$25=A5,18,0)+IF('Race Results'!$H$25=A5,15,0)+IF('Race Results'!$I$25=A5,12,0)+IF('Race Results'!$J$25=A5,10,0)+IF('Race Results'!$K$25=A5,8,0)+IF('Race Results'!$L$25=A5,6,0)+IF('Race Results'!$M$25=A5,4,0)+IF('Race Results'!$N$25=A5,2,0)+IF('Race Results'!$O$25=A5,1,0)+IF(AND('Race Results'!$Q$25=A5,'Race Results'!$R$25="Yes"),1,0),0)</f>
        <v>0</v>
      </c>
    </row>
    <row r="6" customFormat="false" ht="14.25" hidden="false" customHeight="true" outlineLevel="0" collapsed="false">
      <c r="A6" s="1" t="s">
        <v>54</v>
      </c>
      <c r="B6" s="159" t="n">
        <f aca="false">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</f>
        <v>6</v>
      </c>
      <c r="C6" s="159" t="n">
        <f aca="false">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</f>
        <v>11</v>
      </c>
      <c r="D6" s="159" t="n">
        <f aca="false">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</f>
        <v>0</v>
      </c>
      <c r="E6" s="159" t="n">
        <f aca="false">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</f>
        <v>0</v>
      </c>
      <c r="F6" s="159" t="n">
        <f aca="false">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</f>
        <v>0</v>
      </c>
      <c r="G6" s="159" t="n">
        <f aca="false">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</f>
        <v>0</v>
      </c>
      <c r="H6" s="159" t="n">
        <f aca="false">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</f>
        <v>0</v>
      </c>
      <c r="I6" s="159" t="n">
        <f aca="false">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</f>
        <v>0</v>
      </c>
      <c r="J6" s="159" t="n">
        <f aca="false">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</f>
        <v>0</v>
      </c>
      <c r="K6" s="159" t="n">
        <f aca="false">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</f>
        <v>0</v>
      </c>
      <c r="L6" s="159" t="n">
        <f aca="false">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</f>
        <v>0</v>
      </c>
      <c r="M6" s="159" t="n">
        <f aca="false">IFERROR(IF('Race Results'!$E$13=A6,25,0)+IF('Race Results'!$G$13=A6,18,0)+IF('Race Results'!$H$13=A6,15,0)+IF('Race Results'!$I$13=A6,12,0)+IF('Race Results'!$J$13=A6,10,0)+IF('Race Results'!$K$13=A6,8,0)+IF('Race Results'!$L$13=A6,6,0)+IF('Race Results'!$M$13=A6,4,0)+IF('Race Results'!$N$13=A6,2,0)+IF('Race Results'!$O$13=A6,1,0)+IF(AND('Race Results'!$Q$13=A6,'Race Results'!$R$13="Yes"),1,0)+IF('Sprint Results'!$E$5=A6,8,0)+IF('Sprint Results'!$F$5=A6,7,0)+IF('Sprint Results'!$G$5=A6,6,0)+IF('Sprint Results'!$H$5=A6,5,0)+IF('Sprint Results'!$I$5=A6,4,0)+IF('Sprint Results'!$J$5=A6,3,0)+IF('Sprint Results'!$K$5=A6,2,0)+IF('Sprint Results'!$L$5=A6,1,0),0)</f>
        <v>0</v>
      </c>
      <c r="N6" s="159" t="n">
        <f aca="false">IFERROR(IF('Race Results'!$E$14=A6,25,0)+IF('Race Results'!$G$14=A6,18,0)+IF('Race Results'!$H$14=A6,15,0)+IF('Race Results'!$I$14=A6,12,0)+IF('Race Results'!$J$14=A6,10,0)+IF('Race Results'!$K$14=A6,8,0)+IF('Race Results'!$L$14=A6,6,0)+IF('Race Results'!$M$14=A6,4,0)+IF('Race Results'!$N$14=A6,2,0)+IF('Race Results'!$O$14=A6,1,0)+IF(AND('Race Results'!$Q$14=A6,'Race Results'!$R$14="Yes"),1,0),0)</f>
        <v>0</v>
      </c>
      <c r="O6" s="159" t="n">
        <f aca="false">IFERROR(IF('Race Results'!$E$15=A6,25,0)+IF('Race Results'!$G$15=A6,18,0)+IF('Race Results'!$H$15=A6,15,0)+IF('Race Results'!$I$15=A6,12,0)+IF('Race Results'!$J$15=A6,10,0)+IF('Race Results'!$K$15=A6,8,0)+IF('Race Results'!$L$15=A6,6,0)+IF('Race Results'!$M$15=A6,4,0)+IF('Race Results'!$N$15=A6,2,0)+IF('Race Results'!$O$15=A6,1,0)+IF(AND('Race Results'!$Q$15=A6,'Race Results'!$R$15="Yes"),1,0),0)</f>
        <v>0</v>
      </c>
      <c r="P6" s="159" t="n">
        <f aca="false">IFERROR(IF('Race Results'!$E$16=A6,25,0)+IF('Race Results'!$G$16=A6,18,0)+IF('Race Results'!$H$16=A6,15,0)+IF('Race Results'!$I$16=A6,12,0)+IF('Race Results'!$J$16=A6,10,0)+IF('Race Results'!$K$16=A6,8,0)+IF('Race Results'!$L$16=A6,6,0)+IF('Race Results'!$M$16=A6,4,0)+IF('Race Results'!$N$16=A6,2,0)+IF('Race Results'!$O$16=A6,1,0)+IF(AND('Race Results'!$Q$16=A6,'Race Results'!$R$16="Yes"),1,0)+IF('Sprint Results'!$E$6=A6,8,0)+IF('Sprint Results'!$F$6=A6,7,0)+IF('Sprint Results'!$G$6=A6,6,0)+IF('Sprint Results'!$H$6=A6,5,0)+IF('Sprint Results'!$I$6=A6,4,0)+IF('Sprint Results'!$J$6=A6,3,0)+IF('Sprint Results'!$K$6=A6,2,0)+IF('Sprint Results'!$L$6=A6,1,0),0)</f>
        <v>0</v>
      </c>
      <c r="Q6" s="159" t="n">
        <f aca="false">IFERROR(IF('Race Results'!$E$17=A6,25,0)+IF('Race Results'!$G$17=A6,18,0)+IF('Race Results'!$H$17=A6,15,0)+IF('Race Results'!$I$17=A6,12,0)+IF('Race Results'!$J$17=A6,10,0)+IF('Race Results'!$K$17=A6,8,0)+IF('Race Results'!$L$17=A6,6,0)+IF('Race Results'!$M$17=A6,4,0)+IF('Race Results'!$N$17=A6,2,0)+IF('Race Results'!$O$17=A6,1,0)+IF(AND('Race Results'!$Q$17=A6,'Race Results'!$R$17="Yes"),1,0),0)</f>
        <v>0</v>
      </c>
      <c r="R6" s="159" t="n">
        <f aca="false">IFERROR(IF('Race Results'!$E$18=A6,25,0)+IF('Race Results'!$G$18=A6,18,0)+IF('Race Results'!$H$18=A6,15,0)+IF('Race Results'!$I$18=A6,12,0)+IF('Race Results'!$J$18=A6,10,0)+IF('Race Results'!$K$18=A6,8,0)+IF('Race Results'!$L$18=A6,6,0)+IF('Race Results'!$M$18=A6,4,0)+IF('Race Results'!$N$18=A6,2,0)+IF('Race Results'!$O$18=A6,1,0)+IF(AND('Race Results'!$Q$18=A6,'Race Results'!$R$18="Yes"),1,0),0)</f>
        <v>0</v>
      </c>
      <c r="S6" s="159" t="n">
        <f aca="false">IFERROR(IF('Race Results'!$E$19=A6,25,0)+IF('Race Results'!$G$19=A6,18,0)+IF('Race Results'!$H$19=A6,15,0)+IF('Race Results'!$I$19=A6,12,0)+IF('Race Results'!$J$19=A6,10,0)+IF('Race Results'!$K$19=A6,8,0)+IF('Race Results'!$L$19=A6,6,0)+IF('Race Results'!$M$19=A6,4,0)+IF('Race Results'!$N$19=A6,2,0)+IF('Race Results'!$O$19=A6,1,0)+IF(AND('Race Results'!$Q$19=A6,'Race Results'!$R$19="Yes"),1,0)+IF('Sprint Results'!$E$7=A6,8,0)+IF('Sprint Results'!$F$7=A6,7,0)+IF('Sprint Results'!$G$7=A6,6,0)+IF('Sprint Results'!$H$7=A6,5,0)+IF('Sprint Results'!$I$7=A6,4,0)+IF('Sprint Results'!$J$7=A6,3,0)+IF('Sprint Results'!$K$7=A6,2,0)+IF('Sprint Results'!$L$7=A6,1,0),0)</f>
        <v>0</v>
      </c>
      <c r="T6" s="159" t="n">
        <f aca="false">IFERROR(IF('Race Results'!$E$20=A6,25,0)+IF('Race Results'!$G$20=A6,18,0)+IF('Race Results'!$H$20=A6,15,0)+IF('Race Results'!$I$20=A6,12,0)+IF('Race Results'!$J$20=A6,10,0)+IF('Race Results'!$K$20=A6,8,0)+IF('Race Results'!$L$20=A6,6,0)+IF('Race Results'!$M$20=A6,4,0)+IF('Race Results'!$N$20=A6,2,0)+IF('Race Results'!$O$20=A6,1,0)+IF(AND('Race Results'!$Q$20=A6,'Race Results'!$R$20="Yes"),1,0),0)</f>
        <v>0</v>
      </c>
      <c r="U6" s="159" t="n">
        <f aca="false">IFERROR(IF('Race Results'!$E$21=A6,25,0)+IF('Race Results'!$G$21=A6,18,0)+IF('Race Results'!$H$21=A6,15,0)+IF('Race Results'!$I$21=A6,12,0)+IF('Race Results'!$J$21=A6,10,0)+IF('Race Results'!$K$21=A6,8,0)+IF('Race Results'!$L$21=A6,6,0)+IF('Race Results'!$M$21=A6,4,0)+IF('Race Results'!$N$21=A6,2,0)+IF('Race Results'!$O$21=A6,1,0)+IF(AND('Race Results'!$Q$21=A6,'Race Results'!$R$21="Yes"),1,0),0)</f>
        <v>0</v>
      </c>
      <c r="V6" s="159" t="n">
        <f aca="false">IFERROR(IF('Race Results'!$E$22=A6,25,0)+IF('Race Results'!$G$22=A6,18,0)+IF('Race Results'!$H$22=A6,15,0)+IF('Race Results'!$I$22=A6,12,0)+IF('Race Results'!$J$22=A6,10,0)+IF('Race Results'!$K$22=A6,8,0)+IF('Race Results'!$L$22=A6,6,0)+IF('Race Results'!$M$22=A6,4,0)+IF('Race Results'!$N$22=A6,2,0)+IF('Race Results'!$O$22=A6,1,0)+IF(AND('Race Results'!$Q$22=A6,'Race Results'!$R$22="Yes"),1,0),0)</f>
        <v>0</v>
      </c>
      <c r="W6" s="159" t="n">
        <f aca="false">IFERROR(IF('Race Results'!$E$23=A6,25,0)+IF('Race Results'!$G$23=A6,18,0)+IF('Race Results'!$H$23=A6,15,0)+IF('Race Results'!$I$23=A6,12,0)+IF('Race Results'!$J$23=A6,10,0)+IF('Race Results'!$K$23=A6,8,0)+IF('Race Results'!$L$23=A6,6,0)+IF('Race Results'!$M$23=A6,4,0)+IF('Race Results'!$N$23=A6,2,0)+IF('Race Results'!$O$23=A6,1,0)+IF(AND('Race Results'!$Q$23=A6,'Race Results'!$R$23="Yes"),1,0),0)</f>
        <v>0</v>
      </c>
      <c r="X6" s="159" t="n">
        <f aca="false">IFERROR(IF('Race Results'!$E$24=A6,25,0)+IF('Race Results'!$G$24=A6,18,0)+IF('Race Results'!$H$24=A6,15,0)+IF('Race Results'!$I$24=A6,12,0)+IF('Race Results'!$J$24=A6,10,0)+IF('Race Results'!$K$24=A6,8,0)+IF('Race Results'!$L$24=A6,6,0)+IF('Race Results'!$M$24=A6,4,0)+IF('Race Results'!$N$24=A6,2,0)+IF('Race Results'!$O$24=A6,1,0)+IF(AND('Race Results'!$Q$24=A6,'Race Results'!$R$24="Yes"),1,0),0)</f>
        <v>0</v>
      </c>
      <c r="Y6" s="159" t="n">
        <f aca="false">IFERROR(IF('Race Results'!$E$25=A6,25,0)+IF('Race Results'!$G$25=A6,18,0)+IF('Race Results'!$H$25=A6,15,0)+IF('Race Results'!$I$25=A6,12,0)+IF('Race Results'!$J$25=A6,10,0)+IF('Race Results'!$K$25=A6,8,0)+IF('Race Results'!$L$25=A6,6,0)+IF('Race Results'!$M$25=A6,4,0)+IF('Race Results'!$N$25=A6,2,0)+IF('Race Results'!$O$25=A6,1,0)+IF(AND('Race Results'!$Q$25=A6,'Race Results'!$R$25="Yes"),1,0),0)</f>
        <v>0</v>
      </c>
    </row>
    <row r="7" customFormat="false" ht="14.25" hidden="false" customHeight="true" outlineLevel="0" collapsed="false">
      <c r="A7" s="1" t="s">
        <v>52</v>
      </c>
      <c r="B7" s="159" t="n">
        <f aca="false">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</f>
        <v>10</v>
      </c>
      <c r="C7" s="159" t="n">
        <f aca="false">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</f>
        <v>5</v>
      </c>
      <c r="D7" s="159" t="n">
        <f aca="false">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</f>
        <v>10</v>
      </c>
      <c r="E7" s="159" t="n">
        <f aca="false">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</f>
        <v>0</v>
      </c>
      <c r="F7" s="159" t="n">
        <f aca="false">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</f>
        <v>0</v>
      </c>
      <c r="G7" s="159" t="n">
        <f aca="false">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</f>
        <v>0</v>
      </c>
      <c r="H7" s="159" t="n">
        <f aca="false">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</f>
        <v>0</v>
      </c>
      <c r="I7" s="159" t="n">
        <f aca="false">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</f>
        <v>0</v>
      </c>
      <c r="J7" s="159" t="n">
        <f aca="false">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</f>
        <v>0</v>
      </c>
      <c r="K7" s="159" t="n">
        <f aca="false">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</f>
        <v>0</v>
      </c>
      <c r="L7" s="159" t="n">
        <f aca="false">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</f>
        <v>0</v>
      </c>
      <c r="M7" s="159" t="n">
        <f aca="false">IFERROR(IF('Race Results'!$E$13=A7,25,0)+IF('Race Results'!$G$13=A7,18,0)+IF('Race Results'!$H$13=A7,15,0)+IF('Race Results'!$I$13=A7,12,0)+IF('Race Results'!$J$13=A7,10,0)+IF('Race Results'!$K$13=A7,8,0)+IF('Race Results'!$L$13=A7,6,0)+IF('Race Results'!$M$13=A7,4,0)+IF('Race Results'!$N$13=A7,2,0)+IF('Race Results'!$O$13=A7,1,0)+IF(AND('Race Results'!$Q$13=A7,'Race Results'!$R$13="Yes"),1,0)+IF('Sprint Results'!$E$5=A7,8,0)+IF('Sprint Results'!$F$5=A7,7,0)+IF('Sprint Results'!$G$5=A7,6,0)+IF('Sprint Results'!$H$5=A7,5,0)+IF('Sprint Results'!$I$5=A7,4,0)+IF('Sprint Results'!$J$5=A7,3,0)+IF('Sprint Results'!$K$5=A7,2,0)+IF('Sprint Results'!$L$5=A7,1,0),0)</f>
        <v>0</v>
      </c>
      <c r="N7" s="159" t="n">
        <f aca="false">IFERROR(IF('Race Results'!$E$14=A7,25,0)+IF('Race Results'!$G$14=A7,18,0)+IF('Race Results'!$H$14=A7,15,0)+IF('Race Results'!$I$14=A7,12,0)+IF('Race Results'!$J$14=A7,10,0)+IF('Race Results'!$K$14=A7,8,0)+IF('Race Results'!$L$14=A7,6,0)+IF('Race Results'!$M$14=A7,4,0)+IF('Race Results'!$N$14=A7,2,0)+IF('Race Results'!$O$14=A7,1,0)+IF(AND('Race Results'!$Q$14=A7,'Race Results'!$R$14="Yes"),1,0),0)</f>
        <v>0</v>
      </c>
      <c r="O7" s="159" t="n">
        <f aca="false">IFERROR(IF('Race Results'!$E$15=A7,25,0)+IF('Race Results'!$G$15=A7,18,0)+IF('Race Results'!$H$15=A7,15,0)+IF('Race Results'!$I$15=A7,12,0)+IF('Race Results'!$J$15=A7,10,0)+IF('Race Results'!$K$15=A7,8,0)+IF('Race Results'!$L$15=A7,6,0)+IF('Race Results'!$M$15=A7,4,0)+IF('Race Results'!$N$15=A7,2,0)+IF('Race Results'!$O$15=A7,1,0)+IF(AND('Race Results'!$Q$15=A7,'Race Results'!$R$15="Yes"),1,0),0)</f>
        <v>0</v>
      </c>
      <c r="P7" s="159" t="n">
        <f aca="false">IFERROR(IF('Race Results'!$E$16=A7,25,0)+IF('Race Results'!$G$16=A7,18,0)+IF('Race Results'!$H$16=A7,15,0)+IF('Race Results'!$I$16=A7,12,0)+IF('Race Results'!$J$16=A7,10,0)+IF('Race Results'!$K$16=A7,8,0)+IF('Race Results'!$L$16=A7,6,0)+IF('Race Results'!$M$16=A7,4,0)+IF('Race Results'!$N$16=A7,2,0)+IF('Race Results'!$O$16=A7,1,0)+IF(AND('Race Results'!$Q$16=A7,'Race Results'!$R$16="Yes"),1,0)+IF('Sprint Results'!$E$6=A7,8,0)+IF('Sprint Results'!$F$6=A7,7,0)+IF('Sprint Results'!$G$6=A7,6,0)+IF('Sprint Results'!$H$6=A7,5,0)+IF('Sprint Results'!$I$6=A7,4,0)+IF('Sprint Results'!$J$6=A7,3,0)+IF('Sprint Results'!$K$6=A7,2,0)+IF('Sprint Results'!$L$6=A7,1,0),0)</f>
        <v>0</v>
      </c>
      <c r="Q7" s="159" t="n">
        <f aca="false">IFERROR(IF('Race Results'!$E$17=A7,25,0)+IF('Race Results'!$G$17=A7,18,0)+IF('Race Results'!$H$17=A7,15,0)+IF('Race Results'!$I$17=A7,12,0)+IF('Race Results'!$J$17=A7,10,0)+IF('Race Results'!$K$17=A7,8,0)+IF('Race Results'!$L$17=A7,6,0)+IF('Race Results'!$M$17=A7,4,0)+IF('Race Results'!$N$17=A7,2,0)+IF('Race Results'!$O$17=A7,1,0)+IF(AND('Race Results'!$Q$17=A7,'Race Results'!$R$17="Yes"),1,0),0)</f>
        <v>0</v>
      </c>
      <c r="R7" s="159" t="n">
        <f aca="false">IFERROR(IF('Race Results'!$E$18=A7,25,0)+IF('Race Results'!$G$18=A7,18,0)+IF('Race Results'!$H$18=A7,15,0)+IF('Race Results'!$I$18=A7,12,0)+IF('Race Results'!$J$18=A7,10,0)+IF('Race Results'!$K$18=A7,8,0)+IF('Race Results'!$L$18=A7,6,0)+IF('Race Results'!$M$18=A7,4,0)+IF('Race Results'!$N$18=A7,2,0)+IF('Race Results'!$O$18=A7,1,0)+IF(AND('Race Results'!$Q$18=A7,'Race Results'!$R$18="Yes"),1,0),0)</f>
        <v>0</v>
      </c>
      <c r="S7" s="159" t="n">
        <f aca="false">IFERROR(IF('Race Results'!$E$19=A7,25,0)+IF('Race Results'!$G$19=A7,18,0)+IF('Race Results'!$H$19=A7,15,0)+IF('Race Results'!$I$19=A7,12,0)+IF('Race Results'!$J$19=A7,10,0)+IF('Race Results'!$K$19=A7,8,0)+IF('Race Results'!$L$19=A7,6,0)+IF('Race Results'!$M$19=A7,4,0)+IF('Race Results'!$N$19=A7,2,0)+IF('Race Results'!$O$19=A7,1,0)+IF(AND('Race Results'!$Q$19=A7,'Race Results'!$R$19="Yes"),1,0)+IF('Sprint Results'!$E$7=A7,8,0)+IF('Sprint Results'!$F$7=A7,7,0)+IF('Sprint Results'!$G$7=A7,6,0)+IF('Sprint Results'!$H$7=A7,5,0)+IF('Sprint Results'!$I$7=A7,4,0)+IF('Sprint Results'!$J$7=A7,3,0)+IF('Sprint Results'!$K$7=A7,2,0)+IF('Sprint Results'!$L$7=A7,1,0),0)</f>
        <v>0</v>
      </c>
      <c r="T7" s="159" t="n">
        <f aca="false">IFERROR(IF('Race Results'!$E$20=A7,25,0)+IF('Race Results'!$G$20=A7,18,0)+IF('Race Results'!$H$20=A7,15,0)+IF('Race Results'!$I$20=A7,12,0)+IF('Race Results'!$J$20=A7,10,0)+IF('Race Results'!$K$20=A7,8,0)+IF('Race Results'!$L$20=A7,6,0)+IF('Race Results'!$M$20=A7,4,0)+IF('Race Results'!$N$20=A7,2,0)+IF('Race Results'!$O$20=A7,1,0)+IF(AND('Race Results'!$Q$20=A7,'Race Results'!$R$20="Yes"),1,0),0)</f>
        <v>0</v>
      </c>
      <c r="U7" s="159" t="n">
        <f aca="false">IFERROR(IF('Race Results'!$E$21=A7,25,0)+IF('Race Results'!$G$21=A7,18,0)+IF('Race Results'!$H$21=A7,15,0)+IF('Race Results'!$I$21=A7,12,0)+IF('Race Results'!$J$21=A7,10,0)+IF('Race Results'!$K$21=A7,8,0)+IF('Race Results'!$L$21=A7,6,0)+IF('Race Results'!$M$21=A7,4,0)+IF('Race Results'!$N$21=A7,2,0)+IF('Race Results'!$O$21=A7,1,0)+IF(AND('Race Results'!$Q$21=A7,'Race Results'!$R$21="Yes"),1,0),0)</f>
        <v>0</v>
      </c>
      <c r="V7" s="159" t="n">
        <f aca="false">IFERROR(IF('Race Results'!$E$22=A7,25,0)+IF('Race Results'!$G$22=A7,18,0)+IF('Race Results'!$H$22=A7,15,0)+IF('Race Results'!$I$22=A7,12,0)+IF('Race Results'!$J$22=A7,10,0)+IF('Race Results'!$K$22=A7,8,0)+IF('Race Results'!$L$22=A7,6,0)+IF('Race Results'!$M$22=A7,4,0)+IF('Race Results'!$N$22=A7,2,0)+IF('Race Results'!$O$22=A7,1,0)+IF(AND('Race Results'!$Q$22=A7,'Race Results'!$R$22="Yes"),1,0),0)</f>
        <v>0</v>
      </c>
      <c r="W7" s="159" t="n">
        <f aca="false">IFERROR(IF('Race Results'!$E$23=A7,25,0)+IF('Race Results'!$G$23=A7,18,0)+IF('Race Results'!$H$23=A7,15,0)+IF('Race Results'!$I$23=A7,12,0)+IF('Race Results'!$J$23=A7,10,0)+IF('Race Results'!$K$23=A7,8,0)+IF('Race Results'!$L$23=A7,6,0)+IF('Race Results'!$M$23=A7,4,0)+IF('Race Results'!$N$23=A7,2,0)+IF('Race Results'!$O$23=A7,1,0)+IF(AND('Race Results'!$Q$23=A7,'Race Results'!$R$23="Yes"),1,0),0)</f>
        <v>0</v>
      </c>
      <c r="X7" s="159" t="n">
        <f aca="false">IFERROR(IF('Race Results'!$E$24=A7,25,0)+IF('Race Results'!$G$24=A7,18,0)+IF('Race Results'!$H$24=A7,15,0)+IF('Race Results'!$I$24=A7,12,0)+IF('Race Results'!$J$24=A7,10,0)+IF('Race Results'!$K$24=A7,8,0)+IF('Race Results'!$L$24=A7,6,0)+IF('Race Results'!$M$24=A7,4,0)+IF('Race Results'!$N$24=A7,2,0)+IF('Race Results'!$O$24=A7,1,0)+IF(AND('Race Results'!$Q$24=A7,'Race Results'!$R$24="Yes"),1,0),0)</f>
        <v>0</v>
      </c>
      <c r="Y7" s="159" t="n">
        <f aca="false">IFERROR(IF('Race Results'!$E$25=A7,25,0)+IF('Race Results'!$G$25=A7,18,0)+IF('Race Results'!$H$25=A7,15,0)+IF('Race Results'!$I$25=A7,12,0)+IF('Race Results'!$J$25=A7,10,0)+IF('Race Results'!$K$25=A7,8,0)+IF('Race Results'!$L$25=A7,6,0)+IF('Race Results'!$M$25=A7,4,0)+IF('Race Results'!$N$25=A7,2,0)+IF('Race Results'!$O$25=A7,1,0)+IF(AND('Race Results'!$Q$25=A7,'Race Results'!$R$25="Yes"),1,0),0)</f>
        <v>0</v>
      </c>
    </row>
    <row r="8" customFormat="false" ht="14.25" hidden="false" customHeight="true" outlineLevel="0" collapsed="false">
      <c r="A8" s="1" t="s">
        <v>57</v>
      </c>
      <c r="B8" s="159" t="n">
        <f aca="false">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</f>
        <v>1</v>
      </c>
      <c r="C8" s="159" t="n">
        <f aca="false">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</f>
        <v>8</v>
      </c>
      <c r="D8" s="159" t="n">
        <f aca="false">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</f>
        <v>6</v>
      </c>
      <c r="E8" s="159" t="n">
        <f aca="false">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</f>
        <v>0</v>
      </c>
      <c r="F8" s="159" t="n">
        <f aca="false">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</f>
        <v>0</v>
      </c>
      <c r="G8" s="159" t="n">
        <f aca="false">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</f>
        <v>0</v>
      </c>
      <c r="H8" s="159" t="n">
        <f aca="false">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</f>
        <v>0</v>
      </c>
      <c r="I8" s="159" t="n">
        <f aca="false">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</f>
        <v>0</v>
      </c>
      <c r="J8" s="159" t="n">
        <f aca="false">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</f>
        <v>0</v>
      </c>
      <c r="K8" s="159" t="n">
        <f aca="false">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</f>
        <v>0</v>
      </c>
      <c r="L8" s="159" t="n">
        <f aca="false">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</f>
        <v>0</v>
      </c>
      <c r="M8" s="159" t="n">
        <f aca="false">IFERROR(IF('Race Results'!$E$13=A8,25,0)+IF('Race Results'!$G$13=A8,18,0)+IF('Race Results'!$H$13=A8,15,0)+IF('Race Results'!$I$13=A8,12,0)+IF('Race Results'!$J$13=A8,10,0)+IF('Race Results'!$K$13=A8,8,0)+IF('Race Results'!$L$13=A8,6,0)+IF('Race Results'!$M$13=A8,4,0)+IF('Race Results'!$N$13=A8,2,0)+IF('Race Results'!$O$13=A8,1,0)+IF(AND('Race Results'!$Q$13=A8,'Race Results'!$R$13="Yes"),1,0)+IF('Sprint Results'!$E$5=A8,8,0)+IF('Sprint Results'!$F$5=A8,7,0)+IF('Sprint Results'!$G$5=A8,6,0)+IF('Sprint Results'!$H$5=A8,5,0)+IF('Sprint Results'!$I$5=A8,4,0)+IF('Sprint Results'!$J$5=A8,3,0)+IF('Sprint Results'!$K$5=A8,2,0)+IF('Sprint Results'!$L$5=A8,1,0),0)</f>
        <v>0</v>
      </c>
      <c r="N8" s="159" t="n">
        <f aca="false">IFERROR(IF('Race Results'!$E$14=A8,25,0)+IF('Race Results'!$G$14=A8,18,0)+IF('Race Results'!$H$14=A8,15,0)+IF('Race Results'!$I$14=A8,12,0)+IF('Race Results'!$J$14=A8,10,0)+IF('Race Results'!$K$14=A8,8,0)+IF('Race Results'!$L$14=A8,6,0)+IF('Race Results'!$M$14=A8,4,0)+IF('Race Results'!$N$14=A8,2,0)+IF('Race Results'!$O$14=A8,1,0)+IF(AND('Race Results'!$Q$14=A8,'Race Results'!$R$14="Yes"),1,0),0)</f>
        <v>0</v>
      </c>
      <c r="O8" s="159" t="n">
        <f aca="false">IFERROR(IF('Race Results'!$E$15=A8,25,0)+IF('Race Results'!$G$15=A8,18,0)+IF('Race Results'!$H$15=A8,15,0)+IF('Race Results'!$I$15=A8,12,0)+IF('Race Results'!$J$15=A8,10,0)+IF('Race Results'!$K$15=A8,8,0)+IF('Race Results'!$L$15=A8,6,0)+IF('Race Results'!$M$15=A8,4,0)+IF('Race Results'!$N$15=A8,2,0)+IF('Race Results'!$O$15=A8,1,0)+IF(AND('Race Results'!$Q$15=A8,'Race Results'!$R$15="Yes"),1,0),0)</f>
        <v>0</v>
      </c>
      <c r="P8" s="159" t="n">
        <f aca="false">IFERROR(IF('Race Results'!$E$16=A8,25,0)+IF('Race Results'!$G$16=A8,18,0)+IF('Race Results'!$H$16=A8,15,0)+IF('Race Results'!$I$16=A8,12,0)+IF('Race Results'!$J$16=A8,10,0)+IF('Race Results'!$K$16=A8,8,0)+IF('Race Results'!$L$16=A8,6,0)+IF('Race Results'!$M$16=A8,4,0)+IF('Race Results'!$N$16=A8,2,0)+IF('Race Results'!$O$16=A8,1,0)+IF(AND('Race Results'!$Q$16=A8,'Race Results'!$R$16="Yes"),1,0)+IF('Sprint Results'!$E$6=A8,8,0)+IF('Sprint Results'!$F$6=A8,7,0)+IF('Sprint Results'!$G$6=A8,6,0)+IF('Sprint Results'!$H$6=A8,5,0)+IF('Sprint Results'!$I$6=A8,4,0)+IF('Sprint Results'!$J$6=A8,3,0)+IF('Sprint Results'!$K$6=A8,2,0)+IF('Sprint Results'!$L$6=A8,1,0),0)</f>
        <v>0</v>
      </c>
      <c r="Q8" s="159" t="n">
        <f aca="false">IFERROR(IF('Race Results'!$E$17=A8,25,0)+IF('Race Results'!$G$17=A8,18,0)+IF('Race Results'!$H$17=A8,15,0)+IF('Race Results'!$I$17=A8,12,0)+IF('Race Results'!$J$17=A8,10,0)+IF('Race Results'!$K$17=A8,8,0)+IF('Race Results'!$L$17=A8,6,0)+IF('Race Results'!$M$17=A8,4,0)+IF('Race Results'!$N$17=A8,2,0)+IF('Race Results'!$O$17=A8,1,0)+IF(AND('Race Results'!$Q$17=A8,'Race Results'!$R$17="Yes"),1,0),0)</f>
        <v>0</v>
      </c>
      <c r="R8" s="159" t="n">
        <f aca="false">IFERROR(IF('Race Results'!$E$18=A8,25,0)+IF('Race Results'!$G$18=A8,18,0)+IF('Race Results'!$H$18=A8,15,0)+IF('Race Results'!$I$18=A8,12,0)+IF('Race Results'!$J$18=A8,10,0)+IF('Race Results'!$K$18=A8,8,0)+IF('Race Results'!$L$18=A8,6,0)+IF('Race Results'!$M$18=A8,4,0)+IF('Race Results'!$N$18=A8,2,0)+IF('Race Results'!$O$18=A8,1,0)+IF(AND('Race Results'!$Q$18=A8,'Race Results'!$R$18="Yes"),1,0),0)</f>
        <v>0</v>
      </c>
      <c r="S8" s="159" t="n">
        <f aca="false">IFERROR(IF('Race Results'!$E$19=A8,25,0)+IF('Race Results'!$G$19=A8,18,0)+IF('Race Results'!$H$19=A8,15,0)+IF('Race Results'!$I$19=A8,12,0)+IF('Race Results'!$J$19=A8,10,0)+IF('Race Results'!$K$19=A8,8,0)+IF('Race Results'!$L$19=A8,6,0)+IF('Race Results'!$M$19=A8,4,0)+IF('Race Results'!$N$19=A8,2,0)+IF('Race Results'!$O$19=A8,1,0)+IF(AND('Race Results'!$Q$19=A8,'Race Results'!$R$19="Yes"),1,0)+IF('Sprint Results'!$E$7=A8,8,0)+IF('Sprint Results'!$F$7=A8,7,0)+IF('Sprint Results'!$G$7=A8,6,0)+IF('Sprint Results'!$H$7=A8,5,0)+IF('Sprint Results'!$I$7=A8,4,0)+IF('Sprint Results'!$J$7=A8,3,0)+IF('Sprint Results'!$K$7=A8,2,0)+IF('Sprint Results'!$L$7=A8,1,0),0)</f>
        <v>0</v>
      </c>
      <c r="T8" s="159" t="n">
        <f aca="false">IFERROR(IF('Race Results'!$E$20=A8,25,0)+IF('Race Results'!$G$20=A8,18,0)+IF('Race Results'!$H$20=A8,15,0)+IF('Race Results'!$I$20=A8,12,0)+IF('Race Results'!$J$20=A8,10,0)+IF('Race Results'!$K$20=A8,8,0)+IF('Race Results'!$L$20=A8,6,0)+IF('Race Results'!$M$20=A8,4,0)+IF('Race Results'!$N$20=A8,2,0)+IF('Race Results'!$O$20=A8,1,0)+IF(AND('Race Results'!$Q$20=A8,'Race Results'!$R$20="Yes"),1,0),0)</f>
        <v>0</v>
      </c>
      <c r="U8" s="159" t="n">
        <f aca="false">IFERROR(IF('Race Results'!$E$21=A8,25,0)+IF('Race Results'!$G$21=A8,18,0)+IF('Race Results'!$H$21=A8,15,0)+IF('Race Results'!$I$21=A8,12,0)+IF('Race Results'!$J$21=A8,10,0)+IF('Race Results'!$K$21=A8,8,0)+IF('Race Results'!$L$21=A8,6,0)+IF('Race Results'!$M$21=A8,4,0)+IF('Race Results'!$N$21=A8,2,0)+IF('Race Results'!$O$21=A8,1,0)+IF(AND('Race Results'!$Q$21=A8,'Race Results'!$R$21="Yes"),1,0),0)</f>
        <v>0</v>
      </c>
      <c r="V8" s="159" t="n">
        <f aca="false">IFERROR(IF('Race Results'!$E$22=A8,25,0)+IF('Race Results'!$G$22=A8,18,0)+IF('Race Results'!$H$22=A8,15,0)+IF('Race Results'!$I$22=A8,12,0)+IF('Race Results'!$J$22=A8,10,0)+IF('Race Results'!$K$22=A8,8,0)+IF('Race Results'!$L$22=A8,6,0)+IF('Race Results'!$M$22=A8,4,0)+IF('Race Results'!$N$22=A8,2,0)+IF('Race Results'!$O$22=A8,1,0)+IF(AND('Race Results'!$Q$22=A8,'Race Results'!$R$22="Yes"),1,0),0)</f>
        <v>0</v>
      </c>
      <c r="W8" s="159" t="n">
        <f aca="false">IFERROR(IF('Race Results'!$E$23=A8,25,0)+IF('Race Results'!$G$23=A8,18,0)+IF('Race Results'!$H$23=A8,15,0)+IF('Race Results'!$I$23=A8,12,0)+IF('Race Results'!$J$23=A8,10,0)+IF('Race Results'!$K$23=A8,8,0)+IF('Race Results'!$L$23=A8,6,0)+IF('Race Results'!$M$23=A8,4,0)+IF('Race Results'!$N$23=A8,2,0)+IF('Race Results'!$O$23=A8,1,0)+IF(AND('Race Results'!$Q$23=A8,'Race Results'!$R$23="Yes"),1,0),0)</f>
        <v>0</v>
      </c>
      <c r="X8" s="159" t="n">
        <f aca="false">IFERROR(IF('Race Results'!$E$24=A8,25,0)+IF('Race Results'!$G$24=A8,18,0)+IF('Race Results'!$H$24=A8,15,0)+IF('Race Results'!$I$24=A8,12,0)+IF('Race Results'!$J$24=A8,10,0)+IF('Race Results'!$K$24=A8,8,0)+IF('Race Results'!$L$24=A8,6,0)+IF('Race Results'!$M$24=A8,4,0)+IF('Race Results'!$N$24=A8,2,0)+IF('Race Results'!$O$24=A8,1,0)+IF(AND('Race Results'!$Q$24=A8,'Race Results'!$R$24="Yes"),1,0),0)</f>
        <v>0</v>
      </c>
      <c r="Y8" s="159" t="n">
        <f aca="false">IFERROR(IF('Race Results'!$E$25=A8,25,0)+IF('Race Results'!$G$25=A8,18,0)+IF('Race Results'!$H$25=A8,15,0)+IF('Race Results'!$I$25=A8,12,0)+IF('Race Results'!$J$25=A8,10,0)+IF('Race Results'!$K$25=A8,8,0)+IF('Race Results'!$L$25=A8,6,0)+IF('Race Results'!$M$25=A8,4,0)+IF('Race Results'!$N$25=A8,2,0)+IF('Race Results'!$O$25=A8,1,0)+IF(AND('Race Results'!$Q$25=A8,'Race Results'!$R$25="Yes"),1,0),0)</f>
        <v>0</v>
      </c>
    </row>
    <row r="9" customFormat="false" ht="14.25" hidden="false" customHeight="true" outlineLevel="0" collapsed="false">
      <c r="A9" s="1" t="s">
        <v>53</v>
      </c>
      <c r="B9" s="159" t="n">
        <f aca="false">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</f>
        <v>8</v>
      </c>
      <c r="C9" s="159" t="n">
        <f aca="false">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</f>
        <v>0</v>
      </c>
      <c r="D9" s="159" t="n">
        <f aca="false">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</f>
        <v>4</v>
      </c>
      <c r="E9" s="159" t="n">
        <f aca="false">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</f>
        <v>0</v>
      </c>
      <c r="F9" s="159" t="n">
        <f aca="false">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</f>
        <v>0</v>
      </c>
      <c r="G9" s="159" t="n">
        <f aca="false">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</f>
        <v>0</v>
      </c>
      <c r="H9" s="159" t="n">
        <f aca="false">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</f>
        <v>0</v>
      </c>
      <c r="I9" s="159" t="n">
        <f aca="false">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</f>
        <v>0</v>
      </c>
      <c r="J9" s="159" t="n">
        <f aca="false">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</f>
        <v>0</v>
      </c>
      <c r="K9" s="159" t="n">
        <f aca="false">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</f>
        <v>0</v>
      </c>
      <c r="L9" s="159" t="n">
        <f aca="false">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</f>
        <v>0</v>
      </c>
      <c r="M9" s="159" t="n">
        <f aca="false">IFERROR(IF('Race Results'!$E$13=A9,25,0)+IF('Race Results'!$G$13=A9,18,0)+IF('Race Results'!$H$13=A9,15,0)+IF('Race Results'!$I$13=A9,12,0)+IF('Race Results'!$J$13=A9,10,0)+IF('Race Results'!$K$13=A9,8,0)+IF('Race Results'!$L$13=A9,6,0)+IF('Race Results'!$M$13=A9,4,0)+IF('Race Results'!$N$13=A9,2,0)+IF('Race Results'!$O$13=A9,1,0)+IF(AND('Race Results'!$Q$13=A9,'Race Results'!$R$13="Yes"),1,0)+IF('Sprint Results'!$E$5=A9,8,0)+IF('Sprint Results'!$F$5=A9,7,0)+IF('Sprint Results'!$G$5=A9,6,0)+IF('Sprint Results'!$H$5=A9,5,0)+IF('Sprint Results'!$I$5=A9,4,0)+IF('Sprint Results'!$J$5=A9,3,0)+IF('Sprint Results'!$K$5=A9,2,0)+IF('Sprint Results'!$L$5=A9,1,0),0)</f>
        <v>0</v>
      </c>
      <c r="N9" s="159" t="n">
        <f aca="false">IFERROR(IF('Race Results'!$E$14=A9,25,0)+IF('Race Results'!$G$14=A9,18,0)+IF('Race Results'!$H$14=A9,15,0)+IF('Race Results'!$I$14=A9,12,0)+IF('Race Results'!$J$14=A9,10,0)+IF('Race Results'!$K$14=A9,8,0)+IF('Race Results'!$L$14=A9,6,0)+IF('Race Results'!$M$14=A9,4,0)+IF('Race Results'!$N$14=A9,2,0)+IF('Race Results'!$O$14=A9,1,0)+IF(AND('Race Results'!$Q$14=A9,'Race Results'!$R$14="Yes"),1,0),0)</f>
        <v>0</v>
      </c>
      <c r="O9" s="159" t="n">
        <f aca="false">IFERROR(IF('Race Results'!$E$15=A9,25,0)+IF('Race Results'!$G$15=A9,18,0)+IF('Race Results'!$H$15=A9,15,0)+IF('Race Results'!$I$15=A9,12,0)+IF('Race Results'!$J$15=A9,10,0)+IF('Race Results'!$K$15=A9,8,0)+IF('Race Results'!$L$15=A9,6,0)+IF('Race Results'!$M$15=A9,4,0)+IF('Race Results'!$N$15=A9,2,0)+IF('Race Results'!$O$15=A9,1,0)+IF(AND('Race Results'!$Q$15=A9,'Race Results'!$R$15="Yes"),1,0),0)</f>
        <v>0</v>
      </c>
      <c r="P9" s="159" t="n">
        <f aca="false">IFERROR(IF('Race Results'!$E$16=A9,25,0)+IF('Race Results'!$G$16=A9,18,0)+IF('Race Results'!$H$16=A9,15,0)+IF('Race Results'!$I$16=A9,12,0)+IF('Race Results'!$J$16=A9,10,0)+IF('Race Results'!$K$16=A9,8,0)+IF('Race Results'!$L$16=A9,6,0)+IF('Race Results'!$M$16=A9,4,0)+IF('Race Results'!$N$16=A9,2,0)+IF('Race Results'!$O$16=A9,1,0)+IF(AND('Race Results'!$Q$16=A9,'Race Results'!$R$16="Yes"),1,0)+IF('Sprint Results'!$E$6=A9,8,0)+IF('Sprint Results'!$F$6=A9,7,0)+IF('Sprint Results'!$G$6=A9,6,0)+IF('Sprint Results'!$H$6=A9,5,0)+IF('Sprint Results'!$I$6=A9,4,0)+IF('Sprint Results'!$J$6=A9,3,0)+IF('Sprint Results'!$K$6=A9,2,0)+IF('Sprint Results'!$L$6=A9,1,0),0)</f>
        <v>0</v>
      </c>
      <c r="Q9" s="159" t="n">
        <f aca="false">IFERROR(IF('Race Results'!$E$17=A9,25,0)+IF('Race Results'!$G$17=A9,18,0)+IF('Race Results'!$H$17=A9,15,0)+IF('Race Results'!$I$17=A9,12,0)+IF('Race Results'!$J$17=A9,10,0)+IF('Race Results'!$K$17=A9,8,0)+IF('Race Results'!$L$17=A9,6,0)+IF('Race Results'!$M$17=A9,4,0)+IF('Race Results'!$N$17=A9,2,0)+IF('Race Results'!$O$17=A9,1,0)+IF(AND('Race Results'!$Q$17=A9,'Race Results'!$R$17="Yes"),1,0),0)</f>
        <v>0</v>
      </c>
      <c r="R9" s="159" t="n">
        <f aca="false">IFERROR(IF('Race Results'!$E$18=A9,25,0)+IF('Race Results'!$G$18=A9,18,0)+IF('Race Results'!$H$18=A9,15,0)+IF('Race Results'!$I$18=A9,12,0)+IF('Race Results'!$J$18=A9,10,0)+IF('Race Results'!$K$18=A9,8,0)+IF('Race Results'!$L$18=A9,6,0)+IF('Race Results'!$M$18=A9,4,0)+IF('Race Results'!$N$18=A9,2,0)+IF('Race Results'!$O$18=A9,1,0)+IF(AND('Race Results'!$Q$18=A9,'Race Results'!$R$18="Yes"),1,0),0)</f>
        <v>0</v>
      </c>
      <c r="S9" s="159" t="n">
        <f aca="false">IFERROR(IF('Race Results'!$E$19=A9,25,0)+IF('Race Results'!$G$19=A9,18,0)+IF('Race Results'!$H$19=A9,15,0)+IF('Race Results'!$I$19=A9,12,0)+IF('Race Results'!$J$19=A9,10,0)+IF('Race Results'!$K$19=A9,8,0)+IF('Race Results'!$L$19=A9,6,0)+IF('Race Results'!$M$19=A9,4,0)+IF('Race Results'!$N$19=A9,2,0)+IF('Race Results'!$O$19=A9,1,0)+IF(AND('Race Results'!$Q$19=A9,'Race Results'!$R$19="Yes"),1,0)+IF('Sprint Results'!$E$7=A9,8,0)+IF('Sprint Results'!$F$7=A9,7,0)+IF('Sprint Results'!$G$7=A9,6,0)+IF('Sprint Results'!$H$7=A9,5,0)+IF('Sprint Results'!$I$7=A9,4,0)+IF('Sprint Results'!$J$7=A9,3,0)+IF('Sprint Results'!$K$7=A9,2,0)+IF('Sprint Results'!$L$7=A9,1,0),0)</f>
        <v>0</v>
      </c>
      <c r="T9" s="159" t="n">
        <f aca="false">IFERROR(IF('Race Results'!$E$20=A9,25,0)+IF('Race Results'!$G$20=A9,18,0)+IF('Race Results'!$H$20=A9,15,0)+IF('Race Results'!$I$20=A9,12,0)+IF('Race Results'!$J$20=A9,10,0)+IF('Race Results'!$K$20=A9,8,0)+IF('Race Results'!$L$20=A9,6,0)+IF('Race Results'!$M$20=A9,4,0)+IF('Race Results'!$N$20=A9,2,0)+IF('Race Results'!$O$20=A9,1,0)+IF(AND('Race Results'!$Q$20=A9,'Race Results'!$R$20="Yes"),1,0),0)</f>
        <v>0</v>
      </c>
      <c r="U9" s="159" t="n">
        <f aca="false">IFERROR(IF('Race Results'!$E$21=A9,25,0)+IF('Race Results'!$G$21=A9,18,0)+IF('Race Results'!$H$21=A9,15,0)+IF('Race Results'!$I$21=A9,12,0)+IF('Race Results'!$J$21=A9,10,0)+IF('Race Results'!$K$21=A9,8,0)+IF('Race Results'!$L$21=A9,6,0)+IF('Race Results'!$M$21=A9,4,0)+IF('Race Results'!$N$21=A9,2,0)+IF('Race Results'!$O$21=A9,1,0)+IF(AND('Race Results'!$Q$21=A9,'Race Results'!$R$21="Yes"),1,0),0)</f>
        <v>0</v>
      </c>
      <c r="V9" s="159" t="n">
        <f aca="false">IFERROR(IF('Race Results'!$E$22=A9,25,0)+IF('Race Results'!$G$22=A9,18,0)+IF('Race Results'!$H$22=A9,15,0)+IF('Race Results'!$I$22=A9,12,0)+IF('Race Results'!$J$22=A9,10,0)+IF('Race Results'!$K$22=A9,8,0)+IF('Race Results'!$L$22=A9,6,0)+IF('Race Results'!$M$22=A9,4,0)+IF('Race Results'!$N$22=A9,2,0)+IF('Race Results'!$O$22=A9,1,0)+IF(AND('Race Results'!$Q$22=A9,'Race Results'!$R$22="Yes"),1,0),0)</f>
        <v>0</v>
      </c>
      <c r="W9" s="159" t="n">
        <f aca="false">IFERROR(IF('Race Results'!$E$23=A9,25,0)+IF('Race Results'!$G$23=A9,18,0)+IF('Race Results'!$H$23=A9,15,0)+IF('Race Results'!$I$23=A9,12,0)+IF('Race Results'!$J$23=A9,10,0)+IF('Race Results'!$K$23=A9,8,0)+IF('Race Results'!$L$23=A9,6,0)+IF('Race Results'!$M$23=A9,4,0)+IF('Race Results'!$N$23=A9,2,0)+IF('Race Results'!$O$23=A9,1,0)+IF(AND('Race Results'!$Q$23=A9,'Race Results'!$R$23="Yes"),1,0),0)</f>
        <v>0</v>
      </c>
      <c r="X9" s="159" t="n">
        <f aca="false">IFERROR(IF('Race Results'!$E$24=A9,25,0)+IF('Race Results'!$G$24=A9,18,0)+IF('Race Results'!$H$24=A9,15,0)+IF('Race Results'!$I$24=A9,12,0)+IF('Race Results'!$J$24=A9,10,0)+IF('Race Results'!$K$24=A9,8,0)+IF('Race Results'!$L$24=A9,6,0)+IF('Race Results'!$M$24=A9,4,0)+IF('Race Results'!$N$24=A9,2,0)+IF('Race Results'!$O$24=A9,1,0)+IF(AND('Race Results'!$Q$24=A9,'Race Results'!$R$24="Yes"),1,0),0)</f>
        <v>0</v>
      </c>
      <c r="Y9" s="159" t="n">
        <f aca="false">IFERROR(IF('Race Results'!$E$25=A9,25,0)+IF('Race Results'!$G$25=A9,18,0)+IF('Race Results'!$H$25=A9,15,0)+IF('Race Results'!$I$25=A9,12,0)+IF('Race Results'!$J$25=A9,10,0)+IF('Race Results'!$K$25=A9,8,0)+IF('Race Results'!$L$25=A9,6,0)+IF('Race Results'!$M$25=A9,4,0)+IF('Race Results'!$N$25=A9,2,0)+IF('Race Results'!$O$25=A9,1,0)+IF(AND('Race Results'!$Q$25=A9,'Race Results'!$R$25="Yes"),1,0),0)</f>
        <v>0</v>
      </c>
    </row>
    <row r="10" customFormat="false" ht="14.25" hidden="false" customHeight="true" outlineLevel="0" collapsed="false">
      <c r="A10" s="1" t="s">
        <v>61</v>
      </c>
      <c r="B10" s="159" t="n">
        <f aca="false">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</f>
        <v>0</v>
      </c>
      <c r="C10" s="159" t="n">
        <f aca="false">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</f>
        <v>8</v>
      </c>
      <c r="D10" s="159" t="n">
        <f aca="false">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</f>
        <v>2</v>
      </c>
      <c r="E10" s="159" t="n">
        <f aca="false">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</f>
        <v>0</v>
      </c>
      <c r="F10" s="159" t="n">
        <f aca="false">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</f>
        <v>0</v>
      </c>
      <c r="G10" s="159" t="n">
        <f aca="false">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</f>
        <v>0</v>
      </c>
      <c r="H10" s="159" t="n">
        <f aca="false">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</f>
        <v>0</v>
      </c>
      <c r="I10" s="159" t="n">
        <f aca="false">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</f>
        <v>0</v>
      </c>
      <c r="J10" s="159" t="n">
        <f aca="false">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</f>
        <v>0</v>
      </c>
      <c r="K10" s="159" t="n">
        <f aca="false">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</f>
        <v>0</v>
      </c>
      <c r="L10" s="159" t="n">
        <f aca="false">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</f>
        <v>0</v>
      </c>
      <c r="M10" s="159" t="n">
        <f aca="false">IFERROR(IF('Race Results'!$E$13=A10,25,0)+IF('Race Results'!$G$13=A10,18,0)+IF('Race Results'!$H$13=A10,15,0)+IF('Race Results'!$I$13=A10,12,0)+IF('Race Results'!$J$13=A10,10,0)+IF('Race Results'!$K$13=A10,8,0)+IF('Race Results'!$L$13=A10,6,0)+IF('Race Results'!$M$13=A10,4,0)+IF('Race Results'!$N$13=A10,2,0)+IF('Race Results'!$O$13=A10,1,0)+IF(AND('Race Results'!$Q$13=A10,'Race Results'!$R$13="Yes"),1,0)+IF('Sprint Results'!$E$5=A10,8,0)+IF('Sprint Results'!$F$5=A10,7,0)+IF('Sprint Results'!$G$5=A10,6,0)+IF('Sprint Results'!$H$5=A10,5,0)+IF('Sprint Results'!$I$5=A10,4,0)+IF('Sprint Results'!$J$5=A10,3,0)+IF('Sprint Results'!$K$5=A10,2,0)+IF('Sprint Results'!$L$5=A10,1,0),0)</f>
        <v>0</v>
      </c>
      <c r="N10" s="159" t="n">
        <f aca="false">IFERROR(IF('Race Results'!$E$14=A10,25,0)+IF('Race Results'!$G$14=A10,18,0)+IF('Race Results'!$H$14=A10,15,0)+IF('Race Results'!$I$14=A10,12,0)+IF('Race Results'!$J$14=A10,10,0)+IF('Race Results'!$K$14=A10,8,0)+IF('Race Results'!$L$14=A10,6,0)+IF('Race Results'!$M$14=A10,4,0)+IF('Race Results'!$N$14=A10,2,0)+IF('Race Results'!$O$14=A10,1,0)+IF(AND('Race Results'!$Q$14=A10,'Race Results'!$R$14="Yes"),1,0),0)</f>
        <v>0</v>
      </c>
      <c r="O10" s="159" t="n">
        <f aca="false">IFERROR(IF('Race Results'!$E$15=A10,25,0)+IF('Race Results'!$G$15=A10,18,0)+IF('Race Results'!$H$15=A10,15,0)+IF('Race Results'!$I$15=A10,12,0)+IF('Race Results'!$J$15=A10,10,0)+IF('Race Results'!$K$15=A10,8,0)+IF('Race Results'!$L$15=A10,6,0)+IF('Race Results'!$M$15=A10,4,0)+IF('Race Results'!$N$15=A10,2,0)+IF('Race Results'!$O$15=A10,1,0)+IF(AND('Race Results'!$Q$15=A10,'Race Results'!$R$15="Yes"),1,0),0)</f>
        <v>0</v>
      </c>
      <c r="P10" s="159" t="n">
        <f aca="false">IFERROR(IF('Race Results'!$E$16=A10,25,0)+IF('Race Results'!$G$16=A10,18,0)+IF('Race Results'!$H$16=A10,15,0)+IF('Race Results'!$I$16=A10,12,0)+IF('Race Results'!$J$16=A10,10,0)+IF('Race Results'!$K$16=A10,8,0)+IF('Race Results'!$L$16=A10,6,0)+IF('Race Results'!$M$16=A10,4,0)+IF('Race Results'!$N$16=A10,2,0)+IF('Race Results'!$O$16=A10,1,0)+IF(AND('Race Results'!$Q$16=A10,'Race Results'!$R$16="Yes"),1,0)+IF('Sprint Results'!$E$6=A10,8,0)+IF('Sprint Results'!$F$6=A10,7,0)+IF('Sprint Results'!$G$6=A10,6,0)+IF('Sprint Results'!$H$6=A10,5,0)+IF('Sprint Results'!$I$6=A10,4,0)+IF('Sprint Results'!$J$6=A10,3,0)+IF('Sprint Results'!$K$6=A10,2,0)+IF('Sprint Results'!$L$6=A10,1,0),0)</f>
        <v>0</v>
      </c>
      <c r="Q10" s="159" t="n">
        <f aca="false">IFERROR(IF('Race Results'!$E$17=A10,25,0)+IF('Race Results'!$G$17=A10,18,0)+IF('Race Results'!$H$17=A10,15,0)+IF('Race Results'!$I$17=A10,12,0)+IF('Race Results'!$J$17=A10,10,0)+IF('Race Results'!$K$17=A10,8,0)+IF('Race Results'!$L$17=A10,6,0)+IF('Race Results'!$M$17=A10,4,0)+IF('Race Results'!$N$17=A10,2,0)+IF('Race Results'!$O$17=A10,1,0)+IF(AND('Race Results'!$Q$17=A10,'Race Results'!$R$17="Yes"),1,0),0)</f>
        <v>0</v>
      </c>
      <c r="R10" s="159" t="n">
        <f aca="false">IFERROR(IF('Race Results'!$E$18=A10,25,0)+IF('Race Results'!$G$18=A10,18,0)+IF('Race Results'!$H$18=A10,15,0)+IF('Race Results'!$I$18=A10,12,0)+IF('Race Results'!$J$18=A10,10,0)+IF('Race Results'!$K$18=A10,8,0)+IF('Race Results'!$L$18=A10,6,0)+IF('Race Results'!$M$18=A10,4,0)+IF('Race Results'!$N$18=A10,2,0)+IF('Race Results'!$O$18=A10,1,0)+IF(AND('Race Results'!$Q$18=A10,'Race Results'!$R$18="Yes"),1,0),0)</f>
        <v>0</v>
      </c>
      <c r="S10" s="159" t="n">
        <f aca="false">IFERROR(IF('Race Results'!$E$19=A10,25,0)+IF('Race Results'!$G$19=A10,18,0)+IF('Race Results'!$H$19=A10,15,0)+IF('Race Results'!$I$19=A10,12,0)+IF('Race Results'!$J$19=A10,10,0)+IF('Race Results'!$K$19=A10,8,0)+IF('Race Results'!$L$19=A10,6,0)+IF('Race Results'!$M$19=A10,4,0)+IF('Race Results'!$N$19=A10,2,0)+IF('Race Results'!$O$19=A10,1,0)+IF(AND('Race Results'!$Q$19=A10,'Race Results'!$R$19="Yes"),1,0)+IF('Sprint Results'!$E$7=A10,8,0)+IF('Sprint Results'!$F$7=A10,7,0)+IF('Sprint Results'!$G$7=A10,6,0)+IF('Sprint Results'!$H$7=A10,5,0)+IF('Sprint Results'!$I$7=A10,4,0)+IF('Sprint Results'!$J$7=A10,3,0)+IF('Sprint Results'!$K$7=A10,2,0)+IF('Sprint Results'!$L$7=A10,1,0),0)</f>
        <v>0</v>
      </c>
      <c r="T10" s="159" t="n">
        <f aca="false">IFERROR(IF('Race Results'!$E$20=A10,25,0)+IF('Race Results'!$G$20=A10,18,0)+IF('Race Results'!$H$20=A10,15,0)+IF('Race Results'!$I$20=A10,12,0)+IF('Race Results'!$J$20=A10,10,0)+IF('Race Results'!$K$20=A10,8,0)+IF('Race Results'!$L$20=A10,6,0)+IF('Race Results'!$M$20=A10,4,0)+IF('Race Results'!$N$20=A10,2,0)+IF('Race Results'!$O$20=A10,1,0)+IF(AND('Race Results'!$Q$20=A10,'Race Results'!$R$20="Yes"),1,0),0)</f>
        <v>0</v>
      </c>
      <c r="U10" s="159" t="n">
        <f aca="false">IFERROR(IF('Race Results'!$E$21=A10,25,0)+IF('Race Results'!$G$21=A10,18,0)+IF('Race Results'!$H$21=A10,15,0)+IF('Race Results'!$I$21=A10,12,0)+IF('Race Results'!$J$21=A10,10,0)+IF('Race Results'!$K$21=A10,8,0)+IF('Race Results'!$L$21=A10,6,0)+IF('Race Results'!$M$21=A10,4,0)+IF('Race Results'!$N$21=A10,2,0)+IF('Race Results'!$O$21=A10,1,0)+IF(AND('Race Results'!$Q$21=A10,'Race Results'!$R$21="Yes"),1,0),0)</f>
        <v>0</v>
      </c>
      <c r="V10" s="159" t="n">
        <f aca="false">IFERROR(IF('Race Results'!$E$22=A10,25,0)+IF('Race Results'!$G$22=A10,18,0)+IF('Race Results'!$H$22=A10,15,0)+IF('Race Results'!$I$22=A10,12,0)+IF('Race Results'!$J$22=A10,10,0)+IF('Race Results'!$K$22=A10,8,0)+IF('Race Results'!$L$22=A10,6,0)+IF('Race Results'!$M$22=A10,4,0)+IF('Race Results'!$N$22=A10,2,0)+IF('Race Results'!$O$22=A10,1,0)+IF(AND('Race Results'!$Q$22=A10,'Race Results'!$R$22="Yes"),1,0),0)</f>
        <v>0</v>
      </c>
      <c r="W10" s="159" t="n">
        <f aca="false">IFERROR(IF('Race Results'!$E$23=A10,25,0)+IF('Race Results'!$G$23=A10,18,0)+IF('Race Results'!$H$23=A10,15,0)+IF('Race Results'!$I$23=A10,12,0)+IF('Race Results'!$J$23=A10,10,0)+IF('Race Results'!$K$23=A10,8,0)+IF('Race Results'!$L$23=A10,6,0)+IF('Race Results'!$M$23=A10,4,0)+IF('Race Results'!$N$23=A10,2,0)+IF('Race Results'!$O$23=A10,1,0)+IF(AND('Race Results'!$Q$23=A10,'Race Results'!$R$23="Yes"),1,0),0)</f>
        <v>0</v>
      </c>
      <c r="X10" s="159" t="n">
        <f aca="false">IFERROR(IF('Race Results'!$E$24=A10,25,0)+IF('Race Results'!$G$24=A10,18,0)+IF('Race Results'!$H$24=A10,15,0)+IF('Race Results'!$I$24=A10,12,0)+IF('Race Results'!$J$24=A10,10,0)+IF('Race Results'!$K$24=A10,8,0)+IF('Race Results'!$L$24=A10,6,0)+IF('Race Results'!$M$24=A10,4,0)+IF('Race Results'!$N$24=A10,2,0)+IF('Race Results'!$O$24=A10,1,0)+IF(AND('Race Results'!$Q$24=A10,'Race Results'!$R$24="Yes"),1,0),0)</f>
        <v>0</v>
      </c>
      <c r="Y10" s="159" t="n">
        <f aca="false">IFERROR(IF('Race Results'!$E$25=A10,25,0)+IF('Race Results'!$G$25=A10,18,0)+IF('Race Results'!$H$25=A10,15,0)+IF('Race Results'!$I$25=A10,12,0)+IF('Race Results'!$J$25=A10,10,0)+IF('Race Results'!$K$25=A10,8,0)+IF('Race Results'!$L$25=A10,6,0)+IF('Race Results'!$M$25=A10,4,0)+IF('Race Results'!$N$25=A10,2,0)+IF('Race Results'!$O$25=A10,1,0)+IF(AND('Race Results'!$Q$25=A10,'Race Results'!$R$25="Yes"),1,0),0)</f>
        <v>0</v>
      </c>
    </row>
    <row r="11" customFormat="false" ht="14.25" hidden="false" customHeight="true" outlineLevel="0" collapsed="false">
      <c r="A11" s="1" t="s">
        <v>62</v>
      </c>
      <c r="B11" s="159" t="n">
        <f aca="false">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</f>
        <v>0</v>
      </c>
      <c r="C11" s="159" t="n">
        <f aca="false">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</f>
        <v>4</v>
      </c>
      <c r="D11" s="159" t="n">
        <f aca="false">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</f>
        <v>0</v>
      </c>
      <c r="E11" s="159" t="n">
        <f aca="false">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</f>
        <v>0</v>
      </c>
      <c r="F11" s="159" t="n">
        <f aca="false">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</f>
        <v>0</v>
      </c>
      <c r="G11" s="159" t="n">
        <f aca="false">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</f>
        <v>0</v>
      </c>
      <c r="H11" s="159" t="n">
        <f aca="false">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</f>
        <v>0</v>
      </c>
      <c r="I11" s="159" t="n">
        <f aca="false">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</f>
        <v>0</v>
      </c>
      <c r="J11" s="159" t="n">
        <f aca="false">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</f>
        <v>0</v>
      </c>
      <c r="K11" s="159" t="n">
        <f aca="false">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</f>
        <v>0</v>
      </c>
      <c r="L11" s="159" t="n">
        <f aca="false">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</f>
        <v>0</v>
      </c>
      <c r="M11" s="159" t="n">
        <f aca="false">IFERROR(IF('Race Results'!$E$13=A11,25,0)+IF('Race Results'!$G$13=A11,18,0)+IF('Race Results'!$H$13=A11,15,0)+IF('Race Results'!$I$13=A11,12,0)+IF('Race Results'!$J$13=A11,10,0)+IF('Race Results'!$K$13=A11,8,0)+IF('Race Results'!$L$13=A11,6,0)+IF('Race Results'!$M$13=A11,4,0)+IF('Race Results'!$N$13=A11,2,0)+IF('Race Results'!$O$13=A11,1,0)+IF(AND('Race Results'!$Q$13=A11,'Race Results'!$R$13="Yes"),1,0)+IF('Sprint Results'!$E$5=A11,8,0)+IF('Sprint Results'!$F$5=A11,7,0)+IF('Sprint Results'!$G$5=A11,6,0)+IF('Sprint Results'!$H$5=A11,5,0)+IF('Sprint Results'!$I$5=A11,4,0)+IF('Sprint Results'!$J$5=A11,3,0)+IF('Sprint Results'!$K$5=A11,2,0)+IF('Sprint Results'!$L$5=A11,1,0),0)</f>
        <v>0</v>
      </c>
      <c r="N11" s="159" t="n">
        <f aca="false">IFERROR(IF('Race Results'!$E$14=A11,25,0)+IF('Race Results'!$G$14=A11,18,0)+IF('Race Results'!$H$14=A11,15,0)+IF('Race Results'!$I$14=A11,12,0)+IF('Race Results'!$J$14=A11,10,0)+IF('Race Results'!$K$14=A11,8,0)+IF('Race Results'!$L$14=A11,6,0)+IF('Race Results'!$M$14=A11,4,0)+IF('Race Results'!$N$14=A11,2,0)+IF('Race Results'!$O$14=A11,1,0)+IF(AND('Race Results'!$Q$14=A11,'Race Results'!$R$14="Yes"),1,0),0)</f>
        <v>0</v>
      </c>
      <c r="O11" s="159" t="n">
        <f aca="false">IFERROR(IF('Race Results'!$E$15=A11,25,0)+IF('Race Results'!$G$15=A11,18,0)+IF('Race Results'!$H$15=A11,15,0)+IF('Race Results'!$I$15=A11,12,0)+IF('Race Results'!$J$15=A11,10,0)+IF('Race Results'!$K$15=A11,8,0)+IF('Race Results'!$L$15=A11,6,0)+IF('Race Results'!$M$15=A11,4,0)+IF('Race Results'!$N$15=A11,2,0)+IF('Race Results'!$O$15=A11,1,0)+IF(AND('Race Results'!$Q$15=A11,'Race Results'!$R$15="Yes"),1,0),0)</f>
        <v>0</v>
      </c>
      <c r="P11" s="159" t="n">
        <f aca="false">IFERROR(IF('Race Results'!$E$16=A11,25,0)+IF('Race Results'!$G$16=A11,18,0)+IF('Race Results'!$H$16=A11,15,0)+IF('Race Results'!$I$16=A11,12,0)+IF('Race Results'!$J$16=A11,10,0)+IF('Race Results'!$K$16=A11,8,0)+IF('Race Results'!$L$16=A11,6,0)+IF('Race Results'!$M$16=A11,4,0)+IF('Race Results'!$N$16=A11,2,0)+IF('Race Results'!$O$16=A11,1,0)+IF(AND('Race Results'!$Q$16=A11,'Race Results'!$R$16="Yes"),1,0)+IF('Sprint Results'!$E$6=A11,8,0)+IF('Sprint Results'!$F$6=A11,7,0)+IF('Sprint Results'!$G$6=A11,6,0)+IF('Sprint Results'!$H$6=A11,5,0)+IF('Sprint Results'!$I$6=A11,4,0)+IF('Sprint Results'!$J$6=A11,3,0)+IF('Sprint Results'!$K$6=A11,2,0)+IF('Sprint Results'!$L$6=A11,1,0),0)</f>
        <v>0</v>
      </c>
      <c r="Q11" s="159" t="n">
        <f aca="false">IFERROR(IF('Race Results'!$E$17=A11,25,0)+IF('Race Results'!$G$17=A11,18,0)+IF('Race Results'!$H$17=A11,15,0)+IF('Race Results'!$I$17=A11,12,0)+IF('Race Results'!$J$17=A11,10,0)+IF('Race Results'!$K$17=A11,8,0)+IF('Race Results'!$L$17=A11,6,0)+IF('Race Results'!$M$17=A11,4,0)+IF('Race Results'!$N$17=A11,2,0)+IF('Race Results'!$O$17=A11,1,0)+IF(AND('Race Results'!$Q$17=A11,'Race Results'!$R$17="Yes"),1,0),0)</f>
        <v>0</v>
      </c>
      <c r="R11" s="159" t="n">
        <f aca="false">IFERROR(IF('Race Results'!$E$18=A11,25,0)+IF('Race Results'!$G$18=A11,18,0)+IF('Race Results'!$H$18=A11,15,0)+IF('Race Results'!$I$18=A11,12,0)+IF('Race Results'!$J$18=A11,10,0)+IF('Race Results'!$K$18=A11,8,0)+IF('Race Results'!$L$18=A11,6,0)+IF('Race Results'!$M$18=A11,4,0)+IF('Race Results'!$N$18=A11,2,0)+IF('Race Results'!$O$18=A11,1,0)+IF(AND('Race Results'!$Q$18=A11,'Race Results'!$R$18="Yes"),1,0),0)</f>
        <v>0</v>
      </c>
      <c r="S11" s="159" t="n">
        <f aca="false">IFERROR(IF('Race Results'!$E$19=A11,25,0)+IF('Race Results'!$G$19=A11,18,0)+IF('Race Results'!$H$19=A11,15,0)+IF('Race Results'!$I$19=A11,12,0)+IF('Race Results'!$J$19=A11,10,0)+IF('Race Results'!$K$19=A11,8,0)+IF('Race Results'!$L$19=A11,6,0)+IF('Race Results'!$M$19=A11,4,0)+IF('Race Results'!$N$19=A11,2,0)+IF('Race Results'!$O$19=A11,1,0)+IF(AND('Race Results'!$Q$19=A11,'Race Results'!$R$19="Yes"),1,0)+IF('Sprint Results'!$E$7=A11,8,0)+IF('Sprint Results'!$F$7=A11,7,0)+IF('Sprint Results'!$G$7=A11,6,0)+IF('Sprint Results'!$H$7=A11,5,0)+IF('Sprint Results'!$I$7=A11,4,0)+IF('Sprint Results'!$J$7=A11,3,0)+IF('Sprint Results'!$K$7=A11,2,0)+IF('Sprint Results'!$L$7=A11,1,0),0)</f>
        <v>0</v>
      </c>
      <c r="T11" s="159" t="n">
        <f aca="false">IFERROR(IF('Race Results'!$E$20=A11,25,0)+IF('Race Results'!$G$20=A11,18,0)+IF('Race Results'!$H$20=A11,15,0)+IF('Race Results'!$I$20=A11,12,0)+IF('Race Results'!$J$20=A11,10,0)+IF('Race Results'!$K$20=A11,8,0)+IF('Race Results'!$L$20=A11,6,0)+IF('Race Results'!$M$20=A11,4,0)+IF('Race Results'!$N$20=A11,2,0)+IF('Race Results'!$O$20=A11,1,0)+IF(AND('Race Results'!$Q$20=A11,'Race Results'!$R$20="Yes"),1,0),0)</f>
        <v>0</v>
      </c>
      <c r="U11" s="159" t="n">
        <f aca="false">IFERROR(IF('Race Results'!$E$21=A11,25,0)+IF('Race Results'!$G$21=A11,18,0)+IF('Race Results'!$H$21=A11,15,0)+IF('Race Results'!$I$21=A11,12,0)+IF('Race Results'!$J$21=A11,10,0)+IF('Race Results'!$K$21=A11,8,0)+IF('Race Results'!$L$21=A11,6,0)+IF('Race Results'!$M$21=A11,4,0)+IF('Race Results'!$N$21=A11,2,0)+IF('Race Results'!$O$21=A11,1,0)+IF(AND('Race Results'!$Q$21=A11,'Race Results'!$R$21="Yes"),1,0),0)</f>
        <v>0</v>
      </c>
      <c r="V11" s="159" t="n">
        <f aca="false">IFERROR(IF('Race Results'!$E$22=A11,25,0)+IF('Race Results'!$G$22=A11,18,0)+IF('Race Results'!$H$22=A11,15,0)+IF('Race Results'!$I$22=A11,12,0)+IF('Race Results'!$J$22=A11,10,0)+IF('Race Results'!$K$22=A11,8,0)+IF('Race Results'!$L$22=A11,6,0)+IF('Race Results'!$M$22=A11,4,0)+IF('Race Results'!$N$22=A11,2,0)+IF('Race Results'!$O$22=A11,1,0)+IF(AND('Race Results'!$Q$22=A11,'Race Results'!$R$22="Yes"),1,0),0)</f>
        <v>0</v>
      </c>
      <c r="W11" s="159" t="n">
        <f aca="false">IFERROR(IF('Race Results'!$E$23=A11,25,0)+IF('Race Results'!$G$23=A11,18,0)+IF('Race Results'!$H$23=A11,15,0)+IF('Race Results'!$I$23=A11,12,0)+IF('Race Results'!$J$23=A11,10,0)+IF('Race Results'!$K$23=A11,8,0)+IF('Race Results'!$L$23=A11,6,0)+IF('Race Results'!$M$23=A11,4,0)+IF('Race Results'!$N$23=A11,2,0)+IF('Race Results'!$O$23=A11,1,0)+IF(AND('Race Results'!$Q$23=A11,'Race Results'!$R$23="Yes"),1,0),0)</f>
        <v>0</v>
      </c>
      <c r="X11" s="159" t="n">
        <f aca="false">IFERROR(IF('Race Results'!$E$24=A11,25,0)+IF('Race Results'!$G$24=A11,18,0)+IF('Race Results'!$H$24=A11,15,0)+IF('Race Results'!$I$24=A11,12,0)+IF('Race Results'!$J$24=A11,10,0)+IF('Race Results'!$K$24=A11,8,0)+IF('Race Results'!$L$24=A11,6,0)+IF('Race Results'!$M$24=A11,4,0)+IF('Race Results'!$N$24=A11,2,0)+IF('Race Results'!$O$24=A11,1,0)+IF(AND('Race Results'!$Q$24=A11,'Race Results'!$R$24="Yes"),1,0),0)</f>
        <v>0</v>
      </c>
      <c r="Y11" s="159" t="n">
        <f aca="false">IFERROR(IF('Race Results'!$E$25=A11,25,0)+IF('Race Results'!$G$25=A11,18,0)+IF('Race Results'!$H$25=A11,15,0)+IF('Race Results'!$I$25=A11,12,0)+IF('Race Results'!$J$25=A11,10,0)+IF('Race Results'!$K$25=A11,8,0)+IF('Race Results'!$L$25=A11,6,0)+IF('Race Results'!$M$25=A11,4,0)+IF('Race Results'!$N$25=A11,2,0)+IF('Race Results'!$O$25=A11,1,0)+IF(AND('Race Results'!$Q$25=A11,'Race Results'!$R$25="Yes"),1,0),0)</f>
        <v>0</v>
      </c>
    </row>
    <row r="12" customFormat="false" ht="14.25" hidden="false" customHeight="true" outlineLevel="0" collapsed="false">
      <c r="A12" s="1" t="s">
        <v>55</v>
      </c>
      <c r="B12" s="159" t="n">
        <f aca="false">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</f>
        <v>4</v>
      </c>
      <c r="C12" s="159" t="n">
        <f aca="false">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</f>
        <v>0</v>
      </c>
      <c r="D12" s="159" t="n">
        <f aca="false">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</f>
        <v>0</v>
      </c>
      <c r="E12" s="159" t="n">
        <f aca="false">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</f>
        <v>0</v>
      </c>
      <c r="F12" s="159" t="n">
        <f aca="false">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</f>
        <v>0</v>
      </c>
      <c r="G12" s="159" t="n">
        <f aca="false">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</f>
        <v>0</v>
      </c>
      <c r="H12" s="159" t="n">
        <f aca="false">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</f>
        <v>0</v>
      </c>
      <c r="I12" s="159" t="n">
        <f aca="false">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</f>
        <v>0</v>
      </c>
      <c r="J12" s="159" t="n">
        <f aca="false">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</f>
        <v>0</v>
      </c>
      <c r="K12" s="159" t="n">
        <f aca="false">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</f>
        <v>0</v>
      </c>
      <c r="L12" s="159" t="n">
        <f aca="false">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</f>
        <v>0</v>
      </c>
      <c r="M12" s="159" t="n">
        <f aca="false">IFERROR(IF('Race Results'!$E$13=A12,25,0)+IF('Race Results'!$G$13=A12,18,0)+IF('Race Results'!$H$13=A12,15,0)+IF('Race Results'!$I$13=A12,12,0)+IF('Race Results'!$J$13=A12,10,0)+IF('Race Results'!$K$13=A12,8,0)+IF('Race Results'!$L$13=A12,6,0)+IF('Race Results'!$M$13=A12,4,0)+IF('Race Results'!$N$13=A12,2,0)+IF('Race Results'!$O$13=A12,1,0)+IF(AND('Race Results'!$Q$13=A12,'Race Results'!$R$13="Yes"),1,0)+IF('Sprint Results'!$E$5=A12,8,0)+IF('Sprint Results'!$F$5=A12,7,0)+IF('Sprint Results'!$G$5=A12,6,0)+IF('Sprint Results'!$H$5=A12,5,0)+IF('Sprint Results'!$I$5=A12,4,0)+IF('Sprint Results'!$J$5=A12,3,0)+IF('Sprint Results'!$K$5=A12,2,0)+IF('Sprint Results'!$L$5=A12,1,0),0)</f>
        <v>0</v>
      </c>
      <c r="N12" s="159" t="n">
        <f aca="false">IFERROR(IF('Race Results'!$E$14=A12,25,0)+IF('Race Results'!$G$14=A12,18,0)+IF('Race Results'!$H$14=A12,15,0)+IF('Race Results'!$I$14=A12,12,0)+IF('Race Results'!$J$14=A12,10,0)+IF('Race Results'!$K$14=A12,8,0)+IF('Race Results'!$L$14=A12,6,0)+IF('Race Results'!$M$14=A12,4,0)+IF('Race Results'!$N$14=A12,2,0)+IF('Race Results'!$O$14=A12,1,0)+IF(AND('Race Results'!$Q$14=A12,'Race Results'!$R$14="Yes"),1,0),0)</f>
        <v>0</v>
      </c>
      <c r="O12" s="159" t="n">
        <f aca="false">IFERROR(IF('Race Results'!$E$15=A12,25,0)+IF('Race Results'!$G$15=A12,18,0)+IF('Race Results'!$H$15=A12,15,0)+IF('Race Results'!$I$15=A12,12,0)+IF('Race Results'!$J$15=A12,10,0)+IF('Race Results'!$K$15=A12,8,0)+IF('Race Results'!$L$15=A12,6,0)+IF('Race Results'!$M$15=A12,4,0)+IF('Race Results'!$N$15=A12,2,0)+IF('Race Results'!$O$15=A12,1,0)+IF(AND('Race Results'!$Q$15=A12,'Race Results'!$R$15="Yes"),1,0),0)</f>
        <v>0</v>
      </c>
      <c r="P12" s="159" t="n">
        <f aca="false">IFERROR(IF('Race Results'!$E$16=A12,25,0)+IF('Race Results'!$G$16=A12,18,0)+IF('Race Results'!$H$16=A12,15,0)+IF('Race Results'!$I$16=A12,12,0)+IF('Race Results'!$J$16=A12,10,0)+IF('Race Results'!$K$16=A12,8,0)+IF('Race Results'!$L$16=A12,6,0)+IF('Race Results'!$M$16=A12,4,0)+IF('Race Results'!$N$16=A12,2,0)+IF('Race Results'!$O$16=A12,1,0)+IF(AND('Race Results'!$Q$16=A12,'Race Results'!$R$16="Yes"),1,0)+IF('Sprint Results'!$E$6=A12,8,0)+IF('Sprint Results'!$F$6=A12,7,0)+IF('Sprint Results'!$G$6=A12,6,0)+IF('Sprint Results'!$H$6=A12,5,0)+IF('Sprint Results'!$I$6=A12,4,0)+IF('Sprint Results'!$J$6=A12,3,0)+IF('Sprint Results'!$K$6=A12,2,0)+IF('Sprint Results'!$L$6=A12,1,0),0)</f>
        <v>0</v>
      </c>
      <c r="Q12" s="159" t="n">
        <f aca="false">IFERROR(IF('Race Results'!$E$17=A12,25,0)+IF('Race Results'!$G$17=A12,18,0)+IF('Race Results'!$H$17=A12,15,0)+IF('Race Results'!$I$17=A12,12,0)+IF('Race Results'!$J$17=A12,10,0)+IF('Race Results'!$K$17=A12,8,0)+IF('Race Results'!$L$17=A12,6,0)+IF('Race Results'!$M$17=A12,4,0)+IF('Race Results'!$N$17=A12,2,0)+IF('Race Results'!$O$17=A12,1,0)+IF(AND('Race Results'!$Q$17=A12,'Race Results'!$R$17="Yes"),1,0),0)</f>
        <v>0</v>
      </c>
      <c r="R12" s="159" t="n">
        <f aca="false">IFERROR(IF('Race Results'!$E$18=A12,25,0)+IF('Race Results'!$G$18=A12,18,0)+IF('Race Results'!$H$18=A12,15,0)+IF('Race Results'!$I$18=A12,12,0)+IF('Race Results'!$J$18=A12,10,0)+IF('Race Results'!$K$18=A12,8,0)+IF('Race Results'!$L$18=A12,6,0)+IF('Race Results'!$M$18=A12,4,0)+IF('Race Results'!$N$18=A12,2,0)+IF('Race Results'!$O$18=A12,1,0)+IF(AND('Race Results'!$Q$18=A12,'Race Results'!$R$18="Yes"),1,0),0)</f>
        <v>0</v>
      </c>
      <c r="S12" s="159" t="n">
        <f aca="false">IFERROR(IF('Race Results'!$E$19=A12,25,0)+IF('Race Results'!$G$19=A12,18,0)+IF('Race Results'!$H$19=A12,15,0)+IF('Race Results'!$I$19=A12,12,0)+IF('Race Results'!$J$19=A12,10,0)+IF('Race Results'!$K$19=A12,8,0)+IF('Race Results'!$L$19=A12,6,0)+IF('Race Results'!$M$19=A12,4,0)+IF('Race Results'!$N$19=A12,2,0)+IF('Race Results'!$O$19=A12,1,0)+IF(AND('Race Results'!$Q$19=A12,'Race Results'!$R$19="Yes"),1,0)+IF('Sprint Results'!$E$7=A12,8,0)+IF('Sprint Results'!$F$7=A12,7,0)+IF('Sprint Results'!$G$7=A12,6,0)+IF('Sprint Results'!$H$7=A12,5,0)+IF('Sprint Results'!$I$7=A12,4,0)+IF('Sprint Results'!$J$7=A12,3,0)+IF('Sprint Results'!$K$7=A12,2,0)+IF('Sprint Results'!$L$7=A12,1,0),0)</f>
        <v>0</v>
      </c>
      <c r="T12" s="159" t="n">
        <f aca="false">IFERROR(IF('Race Results'!$E$20=A12,25,0)+IF('Race Results'!$G$20=A12,18,0)+IF('Race Results'!$H$20=A12,15,0)+IF('Race Results'!$I$20=A12,12,0)+IF('Race Results'!$J$20=A12,10,0)+IF('Race Results'!$K$20=A12,8,0)+IF('Race Results'!$L$20=A12,6,0)+IF('Race Results'!$M$20=A12,4,0)+IF('Race Results'!$N$20=A12,2,0)+IF('Race Results'!$O$20=A12,1,0)+IF(AND('Race Results'!$Q$20=A12,'Race Results'!$R$20="Yes"),1,0),0)</f>
        <v>0</v>
      </c>
      <c r="U12" s="159" t="n">
        <f aca="false">IFERROR(IF('Race Results'!$E$21=A12,25,0)+IF('Race Results'!$G$21=A12,18,0)+IF('Race Results'!$H$21=A12,15,0)+IF('Race Results'!$I$21=A12,12,0)+IF('Race Results'!$J$21=A12,10,0)+IF('Race Results'!$K$21=A12,8,0)+IF('Race Results'!$L$21=A12,6,0)+IF('Race Results'!$M$21=A12,4,0)+IF('Race Results'!$N$21=A12,2,0)+IF('Race Results'!$O$21=A12,1,0)+IF(AND('Race Results'!$Q$21=A12,'Race Results'!$R$21="Yes"),1,0),0)</f>
        <v>0</v>
      </c>
      <c r="V12" s="159" t="n">
        <f aca="false">IFERROR(IF('Race Results'!$E$22=A12,25,0)+IF('Race Results'!$G$22=A12,18,0)+IF('Race Results'!$H$22=A12,15,0)+IF('Race Results'!$I$22=A12,12,0)+IF('Race Results'!$J$22=A12,10,0)+IF('Race Results'!$K$22=A12,8,0)+IF('Race Results'!$L$22=A12,6,0)+IF('Race Results'!$M$22=A12,4,0)+IF('Race Results'!$N$22=A12,2,0)+IF('Race Results'!$O$22=A12,1,0)+IF(AND('Race Results'!$Q$22=A12,'Race Results'!$R$22="Yes"),1,0),0)</f>
        <v>0</v>
      </c>
      <c r="W12" s="159" t="n">
        <f aca="false">IFERROR(IF('Race Results'!$E$23=A12,25,0)+IF('Race Results'!$G$23=A12,18,0)+IF('Race Results'!$H$23=A12,15,0)+IF('Race Results'!$I$23=A12,12,0)+IF('Race Results'!$J$23=A12,10,0)+IF('Race Results'!$K$23=A12,8,0)+IF('Race Results'!$L$23=A12,6,0)+IF('Race Results'!$M$23=A12,4,0)+IF('Race Results'!$N$23=A12,2,0)+IF('Race Results'!$O$23=A12,1,0)+IF(AND('Race Results'!$Q$23=A12,'Race Results'!$R$23="Yes"),1,0),0)</f>
        <v>0</v>
      </c>
      <c r="X12" s="159" t="n">
        <f aca="false">IFERROR(IF('Race Results'!$E$24=A12,25,0)+IF('Race Results'!$G$24=A12,18,0)+IF('Race Results'!$H$24=A12,15,0)+IF('Race Results'!$I$24=A12,12,0)+IF('Race Results'!$J$24=A12,10,0)+IF('Race Results'!$K$24=A12,8,0)+IF('Race Results'!$L$24=A12,6,0)+IF('Race Results'!$M$24=A12,4,0)+IF('Race Results'!$N$24=A12,2,0)+IF('Race Results'!$O$24=A12,1,0)+IF(AND('Race Results'!$Q$24=A12,'Race Results'!$R$24="Yes"),1,0),0)</f>
        <v>0</v>
      </c>
      <c r="Y12" s="159" t="n">
        <f aca="false">IFERROR(IF('Race Results'!$E$25=A12,25,0)+IF('Race Results'!$G$25=A12,18,0)+IF('Race Results'!$H$25=A12,15,0)+IF('Race Results'!$I$25=A12,12,0)+IF('Race Results'!$J$25=A12,10,0)+IF('Race Results'!$K$25=A12,8,0)+IF('Race Results'!$L$25=A12,6,0)+IF('Race Results'!$M$25=A12,4,0)+IF('Race Results'!$N$25=A12,2,0)+IF('Race Results'!$O$25=A12,1,0)+IF(AND('Race Results'!$Q$25=A12,'Race Results'!$R$25="Yes"),1,0),0)</f>
        <v>0</v>
      </c>
    </row>
    <row r="13" customFormat="false" ht="14.25" hidden="false" customHeight="true" outlineLevel="0" collapsed="false">
      <c r="A13" s="1" t="s">
        <v>68</v>
      </c>
      <c r="B13" s="159" t="n">
        <f aca="false">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</f>
        <v>0</v>
      </c>
      <c r="C13" s="159" t="n">
        <f aca="false">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</f>
        <v>3</v>
      </c>
      <c r="D13" s="159" t="n">
        <f aca="false">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</f>
        <v>18</v>
      </c>
      <c r="E13" s="159" t="n">
        <f aca="false">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</f>
        <v>0</v>
      </c>
      <c r="F13" s="159" t="n">
        <f aca="false">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</f>
        <v>0</v>
      </c>
      <c r="G13" s="159" t="n">
        <f aca="false">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</f>
        <v>0</v>
      </c>
      <c r="H13" s="159" t="n">
        <f aca="false">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</f>
        <v>0</v>
      </c>
      <c r="I13" s="159" t="n">
        <f aca="false">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</f>
        <v>0</v>
      </c>
      <c r="J13" s="159" t="n">
        <f aca="false">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</f>
        <v>0</v>
      </c>
      <c r="K13" s="159" t="n">
        <f aca="false">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</f>
        <v>0</v>
      </c>
      <c r="L13" s="159" t="n">
        <f aca="false">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</f>
        <v>0</v>
      </c>
      <c r="M13" s="159" t="n">
        <f aca="false">IFERROR(IF('Race Results'!$E$13=A13,25,0)+IF('Race Results'!$G$13=A13,18,0)+IF('Race Results'!$H$13=A13,15,0)+IF('Race Results'!$I$13=A13,12,0)+IF('Race Results'!$J$13=A13,10,0)+IF('Race Results'!$K$13=A13,8,0)+IF('Race Results'!$L$13=A13,6,0)+IF('Race Results'!$M$13=A13,4,0)+IF('Race Results'!$N$13=A13,2,0)+IF('Race Results'!$O$13=A13,1,0)+IF(AND('Race Results'!$Q$13=A13,'Race Results'!$R$13="Yes"),1,0)+IF('Sprint Results'!$E$5=A13,8,0)+IF('Sprint Results'!$F$5=A13,7,0)+IF('Sprint Results'!$G$5=A13,6,0)+IF('Sprint Results'!$H$5=A13,5,0)+IF('Sprint Results'!$I$5=A13,4,0)+IF('Sprint Results'!$J$5=A13,3,0)+IF('Sprint Results'!$K$5=A13,2,0)+IF('Sprint Results'!$L$5=A13,1,0),0)</f>
        <v>0</v>
      </c>
      <c r="N13" s="159" t="n">
        <f aca="false">IFERROR(IF('Race Results'!$E$14=A13,25,0)+IF('Race Results'!$G$14=A13,18,0)+IF('Race Results'!$H$14=A13,15,0)+IF('Race Results'!$I$14=A13,12,0)+IF('Race Results'!$J$14=A13,10,0)+IF('Race Results'!$K$14=A13,8,0)+IF('Race Results'!$L$14=A13,6,0)+IF('Race Results'!$M$14=A13,4,0)+IF('Race Results'!$N$14=A13,2,0)+IF('Race Results'!$O$14=A13,1,0)+IF(AND('Race Results'!$Q$14=A13,'Race Results'!$R$14="Yes"),1,0),0)</f>
        <v>0</v>
      </c>
      <c r="O13" s="159" t="n">
        <f aca="false">IFERROR(IF('Race Results'!$E$15=A13,25,0)+IF('Race Results'!$G$15=A13,18,0)+IF('Race Results'!$H$15=A13,15,0)+IF('Race Results'!$I$15=A13,12,0)+IF('Race Results'!$J$15=A13,10,0)+IF('Race Results'!$K$15=A13,8,0)+IF('Race Results'!$L$15=A13,6,0)+IF('Race Results'!$M$15=A13,4,0)+IF('Race Results'!$N$15=A13,2,0)+IF('Race Results'!$O$15=A13,1,0)+IF(AND('Race Results'!$Q$15=A13,'Race Results'!$R$15="Yes"),1,0),0)</f>
        <v>0</v>
      </c>
      <c r="P13" s="159" t="n">
        <f aca="false">IFERROR(IF('Race Results'!$E$16=A13,25,0)+IF('Race Results'!$G$16=A13,18,0)+IF('Race Results'!$H$16=A13,15,0)+IF('Race Results'!$I$16=A13,12,0)+IF('Race Results'!$J$16=A13,10,0)+IF('Race Results'!$K$16=A13,8,0)+IF('Race Results'!$L$16=A13,6,0)+IF('Race Results'!$M$16=A13,4,0)+IF('Race Results'!$N$16=A13,2,0)+IF('Race Results'!$O$16=A13,1,0)+IF(AND('Race Results'!$Q$16=A13,'Race Results'!$R$16="Yes"),1,0)+IF('Sprint Results'!$E$6=A13,8,0)+IF('Sprint Results'!$F$6=A13,7,0)+IF('Sprint Results'!$G$6=A13,6,0)+IF('Sprint Results'!$H$6=A13,5,0)+IF('Sprint Results'!$I$6=A13,4,0)+IF('Sprint Results'!$J$6=A13,3,0)+IF('Sprint Results'!$K$6=A13,2,0)+IF('Sprint Results'!$L$6=A13,1,0),0)</f>
        <v>0</v>
      </c>
      <c r="Q13" s="159" t="n">
        <f aca="false">IFERROR(IF('Race Results'!$E$17=A13,25,0)+IF('Race Results'!$G$17=A13,18,0)+IF('Race Results'!$H$17=A13,15,0)+IF('Race Results'!$I$17=A13,12,0)+IF('Race Results'!$J$17=A13,10,0)+IF('Race Results'!$K$17=A13,8,0)+IF('Race Results'!$L$17=A13,6,0)+IF('Race Results'!$M$17=A13,4,0)+IF('Race Results'!$N$17=A13,2,0)+IF('Race Results'!$O$17=A13,1,0)+IF(AND('Race Results'!$Q$17=A13,'Race Results'!$R$17="Yes"),1,0),0)</f>
        <v>0</v>
      </c>
      <c r="R13" s="159" t="n">
        <f aca="false">IFERROR(IF('Race Results'!$E$18=A13,25,0)+IF('Race Results'!$G$18=A13,18,0)+IF('Race Results'!$H$18=A13,15,0)+IF('Race Results'!$I$18=A13,12,0)+IF('Race Results'!$J$18=A13,10,0)+IF('Race Results'!$K$18=A13,8,0)+IF('Race Results'!$L$18=A13,6,0)+IF('Race Results'!$M$18=A13,4,0)+IF('Race Results'!$N$18=A13,2,0)+IF('Race Results'!$O$18=A13,1,0)+IF(AND('Race Results'!$Q$18=A13,'Race Results'!$R$18="Yes"),1,0),0)</f>
        <v>0</v>
      </c>
      <c r="S13" s="159" t="n">
        <f aca="false">IFERROR(IF('Race Results'!$E$19=A13,25,0)+IF('Race Results'!$G$19=A13,18,0)+IF('Race Results'!$H$19=A13,15,0)+IF('Race Results'!$I$19=A13,12,0)+IF('Race Results'!$J$19=A13,10,0)+IF('Race Results'!$K$19=A13,8,0)+IF('Race Results'!$L$19=A13,6,0)+IF('Race Results'!$M$19=A13,4,0)+IF('Race Results'!$N$19=A13,2,0)+IF('Race Results'!$O$19=A13,1,0)+IF(AND('Race Results'!$Q$19=A13,'Race Results'!$R$19="Yes"),1,0)+IF('Sprint Results'!$E$7=A13,8,0)+IF('Sprint Results'!$F$7=A13,7,0)+IF('Sprint Results'!$G$7=A13,6,0)+IF('Sprint Results'!$H$7=A13,5,0)+IF('Sprint Results'!$I$7=A13,4,0)+IF('Sprint Results'!$J$7=A13,3,0)+IF('Sprint Results'!$K$7=A13,2,0)+IF('Sprint Results'!$L$7=A13,1,0),0)</f>
        <v>0</v>
      </c>
      <c r="T13" s="159" t="n">
        <f aca="false">IFERROR(IF('Race Results'!$E$20=A13,25,0)+IF('Race Results'!$G$20=A13,18,0)+IF('Race Results'!$H$20=A13,15,0)+IF('Race Results'!$I$20=A13,12,0)+IF('Race Results'!$J$20=A13,10,0)+IF('Race Results'!$K$20=A13,8,0)+IF('Race Results'!$L$20=A13,6,0)+IF('Race Results'!$M$20=A13,4,0)+IF('Race Results'!$N$20=A13,2,0)+IF('Race Results'!$O$20=A13,1,0)+IF(AND('Race Results'!$Q$20=A13,'Race Results'!$R$20="Yes"),1,0),0)</f>
        <v>0</v>
      </c>
      <c r="U13" s="159" t="n">
        <f aca="false">IFERROR(IF('Race Results'!$E$21=A13,25,0)+IF('Race Results'!$G$21=A13,18,0)+IF('Race Results'!$H$21=A13,15,0)+IF('Race Results'!$I$21=A13,12,0)+IF('Race Results'!$J$21=A13,10,0)+IF('Race Results'!$K$21=A13,8,0)+IF('Race Results'!$L$21=A13,6,0)+IF('Race Results'!$M$21=A13,4,0)+IF('Race Results'!$N$21=A13,2,0)+IF('Race Results'!$O$21=A13,1,0)+IF(AND('Race Results'!$Q$21=A13,'Race Results'!$R$21="Yes"),1,0),0)</f>
        <v>0</v>
      </c>
      <c r="V13" s="159" t="n">
        <f aca="false">IFERROR(IF('Race Results'!$E$22=A13,25,0)+IF('Race Results'!$G$22=A13,18,0)+IF('Race Results'!$H$22=A13,15,0)+IF('Race Results'!$I$22=A13,12,0)+IF('Race Results'!$J$22=A13,10,0)+IF('Race Results'!$K$22=A13,8,0)+IF('Race Results'!$L$22=A13,6,0)+IF('Race Results'!$M$22=A13,4,0)+IF('Race Results'!$N$22=A13,2,0)+IF('Race Results'!$O$22=A13,1,0)+IF(AND('Race Results'!$Q$22=A13,'Race Results'!$R$22="Yes"),1,0),0)</f>
        <v>0</v>
      </c>
      <c r="W13" s="159" t="n">
        <f aca="false">IFERROR(IF('Race Results'!$E$23=A13,25,0)+IF('Race Results'!$G$23=A13,18,0)+IF('Race Results'!$H$23=A13,15,0)+IF('Race Results'!$I$23=A13,12,0)+IF('Race Results'!$J$23=A13,10,0)+IF('Race Results'!$K$23=A13,8,0)+IF('Race Results'!$L$23=A13,6,0)+IF('Race Results'!$M$23=A13,4,0)+IF('Race Results'!$N$23=A13,2,0)+IF('Race Results'!$O$23=A13,1,0)+IF(AND('Race Results'!$Q$23=A13,'Race Results'!$R$23="Yes"),1,0),0)</f>
        <v>0</v>
      </c>
      <c r="X13" s="159" t="n">
        <f aca="false">IFERROR(IF('Race Results'!$E$24=A13,25,0)+IF('Race Results'!$G$24=A13,18,0)+IF('Race Results'!$H$24=A13,15,0)+IF('Race Results'!$I$24=A13,12,0)+IF('Race Results'!$J$24=A13,10,0)+IF('Race Results'!$K$24=A13,8,0)+IF('Race Results'!$L$24=A13,6,0)+IF('Race Results'!$M$24=A13,4,0)+IF('Race Results'!$N$24=A13,2,0)+IF('Race Results'!$O$24=A13,1,0)+IF(AND('Race Results'!$Q$24=A13,'Race Results'!$R$24="Yes"),1,0),0)</f>
        <v>0</v>
      </c>
      <c r="Y13" s="159" t="n">
        <f aca="false">IFERROR(IF('Race Results'!$E$25=A13,25,0)+IF('Race Results'!$G$25=A13,18,0)+IF('Race Results'!$H$25=A13,15,0)+IF('Race Results'!$I$25=A13,12,0)+IF('Race Results'!$J$25=A13,10,0)+IF('Race Results'!$K$25=A13,8,0)+IF('Race Results'!$L$25=A13,6,0)+IF('Race Results'!$M$25=A13,4,0)+IF('Race Results'!$N$25=A13,2,0)+IF('Race Results'!$O$25=A13,1,0)+IF(AND('Race Results'!$Q$25=A13,'Race Results'!$R$25="Yes"),1,0),0)</f>
        <v>0</v>
      </c>
    </row>
    <row r="14" customFormat="false" ht="14.25" hidden="false" customHeight="true" outlineLevel="0" collapsed="false">
      <c r="A14" s="1" t="s">
        <v>63</v>
      </c>
      <c r="B14" s="159" t="n">
        <f aca="false">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</f>
        <v>0</v>
      </c>
      <c r="C14" s="159" t="n">
        <f aca="false">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</f>
        <v>2</v>
      </c>
      <c r="D14" s="159" t="n">
        <f aca="false">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</f>
        <v>0</v>
      </c>
      <c r="E14" s="159" t="n">
        <f aca="false">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</f>
        <v>0</v>
      </c>
      <c r="F14" s="159" t="n">
        <f aca="false">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</f>
        <v>0</v>
      </c>
      <c r="G14" s="159" t="n">
        <f aca="false">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</f>
        <v>0</v>
      </c>
      <c r="H14" s="159" t="n">
        <f aca="false">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</f>
        <v>0</v>
      </c>
      <c r="I14" s="159" t="n">
        <f aca="false">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</f>
        <v>0</v>
      </c>
      <c r="J14" s="159" t="n">
        <f aca="false">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</f>
        <v>0</v>
      </c>
      <c r="K14" s="159" t="n">
        <f aca="false">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</f>
        <v>0</v>
      </c>
      <c r="L14" s="159" t="n">
        <f aca="false">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</f>
        <v>0</v>
      </c>
      <c r="M14" s="159" t="n">
        <f aca="false">IFERROR(IF('Race Results'!$E$13=A14,25,0)+IF('Race Results'!$G$13=A14,18,0)+IF('Race Results'!$H$13=A14,15,0)+IF('Race Results'!$I$13=A14,12,0)+IF('Race Results'!$J$13=A14,10,0)+IF('Race Results'!$K$13=A14,8,0)+IF('Race Results'!$L$13=A14,6,0)+IF('Race Results'!$M$13=A14,4,0)+IF('Race Results'!$N$13=A14,2,0)+IF('Race Results'!$O$13=A14,1,0)+IF(AND('Race Results'!$Q$13=A14,'Race Results'!$R$13="Yes"),1,0)+IF('Sprint Results'!$E$5=A14,8,0)+IF('Sprint Results'!$F$5=A14,7,0)+IF('Sprint Results'!$G$5=A14,6,0)+IF('Sprint Results'!$H$5=A14,5,0)+IF('Sprint Results'!$I$5=A14,4,0)+IF('Sprint Results'!$J$5=A14,3,0)+IF('Sprint Results'!$K$5=A14,2,0)+IF('Sprint Results'!$L$5=A14,1,0),0)</f>
        <v>0</v>
      </c>
      <c r="N14" s="159" t="n">
        <f aca="false">IFERROR(IF('Race Results'!$E$14=A14,25,0)+IF('Race Results'!$G$14=A14,18,0)+IF('Race Results'!$H$14=A14,15,0)+IF('Race Results'!$I$14=A14,12,0)+IF('Race Results'!$J$14=A14,10,0)+IF('Race Results'!$K$14=A14,8,0)+IF('Race Results'!$L$14=A14,6,0)+IF('Race Results'!$M$14=A14,4,0)+IF('Race Results'!$N$14=A14,2,0)+IF('Race Results'!$O$14=A14,1,0)+IF(AND('Race Results'!$Q$14=A14,'Race Results'!$R$14="Yes"),1,0),0)</f>
        <v>0</v>
      </c>
      <c r="O14" s="159" t="n">
        <f aca="false">IFERROR(IF('Race Results'!$E$15=A14,25,0)+IF('Race Results'!$G$15=A14,18,0)+IF('Race Results'!$H$15=A14,15,0)+IF('Race Results'!$I$15=A14,12,0)+IF('Race Results'!$J$15=A14,10,0)+IF('Race Results'!$K$15=A14,8,0)+IF('Race Results'!$L$15=A14,6,0)+IF('Race Results'!$M$15=A14,4,0)+IF('Race Results'!$N$15=A14,2,0)+IF('Race Results'!$O$15=A14,1,0)+IF(AND('Race Results'!$Q$15=A14,'Race Results'!$R$15="Yes"),1,0),0)</f>
        <v>0</v>
      </c>
      <c r="P14" s="159" t="n">
        <f aca="false">IFERROR(IF('Race Results'!$E$16=A14,25,0)+IF('Race Results'!$G$16=A14,18,0)+IF('Race Results'!$H$16=A14,15,0)+IF('Race Results'!$I$16=A14,12,0)+IF('Race Results'!$J$16=A14,10,0)+IF('Race Results'!$K$16=A14,8,0)+IF('Race Results'!$L$16=A14,6,0)+IF('Race Results'!$M$16=A14,4,0)+IF('Race Results'!$N$16=A14,2,0)+IF('Race Results'!$O$16=A14,1,0)+IF(AND('Race Results'!$Q$16=A14,'Race Results'!$R$16="Yes"),1,0)+IF('Sprint Results'!$E$6=A14,8,0)+IF('Sprint Results'!$F$6=A14,7,0)+IF('Sprint Results'!$G$6=A14,6,0)+IF('Sprint Results'!$H$6=A14,5,0)+IF('Sprint Results'!$I$6=A14,4,0)+IF('Sprint Results'!$J$6=A14,3,0)+IF('Sprint Results'!$K$6=A14,2,0)+IF('Sprint Results'!$L$6=A14,1,0),0)</f>
        <v>0</v>
      </c>
      <c r="Q14" s="159" t="n">
        <f aca="false">IFERROR(IF('Race Results'!$E$17=A14,25,0)+IF('Race Results'!$G$17=A14,18,0)+IF('Race Results'!$H$17=A14,15,0)+IF('Race Results'!$I$17=A14,12,0)+IF('Race Results'!$J$17=A14,10,0)+IF('Race Results'!$K$17=A14,8,0)+IF('Race Results'!$L$17=A14,6,0)+IF('Race Results'!$M$17=A14,4,0)+IF('Race Results'!$N$17=A14,2,0)+IF('Race Results'!$O$17=A14,1,0)+IF(AND('Race Results'!$Q$17=A14,'Race Results'!$R$17="Yes"),1,0),0)</f>
        <v>0</v>
      </c>
      <c r="R14" s="159" t="n">
        <f aca="false">IFERROR(IF('Race Results'!$E$18=A14,25,0)+IF('Race Results'!$G$18=A14,18,0)+IF('Race Results'!$H$18=A14,15,0)+IF('Race Results'!$I$18=A14,12,0)+IF('Race Results'!$J$18=A14,10,0)+IF('Race Results'!$K$18=A14,8,0)+IF('Race Results'!$L$18=A14,6,0)+IF('Race Results'!$M$18=A14,4,0)+IF('Race Results'!$N$18=A14,2,0)+IF('Race Results'!$O$18=A14,1,0)+IF(AND('Race Results'!$Q$18=A14,'Race Results'!$R$18="Yes"),1,0),0)</f>
        <v>0</v>
      </c>
      <c r="S14" s="159" t="n">
        <f aca="false">IFERROR(IF('Race Results'!$E$19=A14,25,0)+IF('Race Results'!$G$19=A14,18,0)+IF('Race Results'!$H$19=A14,15,0)+IF('Race Results'!$I$19=A14,12,0)+IF('Race Results'!$J$19=A14,10,0)+IF('Race Results'!$K$19=A14,8,0)+IF('Race Results'!$L$19=A14,6,0)+IF('Race Results'!$M$19=A14,4,0)+IF('Race Results'!$N$19=A14,2,0)+IF('Race Results'!$O$19=A14,1,0)+IF(AND('Race Results'!$Q$19=A14,'Race Results'!$R$19="Yes"),1,0)+IF('Sprint Results'!$E$7=A14,8,0)+IF('Sprint Results'!$F$7=A14,7,0)+IF('Sprint Results'!$G$7=A14,6,0)+IF('Sprint Results'!$H$7=A14,5,0)+IF('Sprint Results'!$I$7=A14,4,0)+IF('Sprint Results'!$J$7=A14,3,0)+IF('Sprint Results'!$K$7=A14,2,0)+IF('Sprint Results'!$L$7=A14,1,0),0)</f>
        <v>0</v>
      </c>
      <c r="T14" s="159" t="n">
        <f aca="false">IFERROR(IF('Race Results'!$E$20=A14,25,0)+IF('Race Results'!$G$20=A14,18,0)+IF('Race Results'!$H$20=A14,15,0)+IF('Race Results'!$I$20=A14,12,0)+IF('Race Results'!$J$20=A14,10,0)+IF('Race Results'!$K$20=A14,8,0)+IF('Race Results'!$L$20=A14,6,0)+IF('Race Results'!$M$20=A14,4,0)+IF('Race Results'!$N$20=A14,2,0)+IF('Race Results'!$O$20=A14,1,0)+IF(AND('Race Results'!$Q$20=A14,'Race Results'!$R$20="Yes"),1,0),0)</f>
        <v>0</v>
      </c>
      <c r="U14" s="159" t="n">
        <f aca="false">IFERROR(IF('Race Results'!$E$21=A14,25,0)+IF('Race Results'!$G$21=A14,18,0)+IF('Race Results'!$H$21=A14,15,0)+IF('Race Results'!$I$21=A14,12,0)+IF('Race Results'!$J$21=A14,10,0)+IF('Race Results'!$K$21=A14,8,0)+IF('Race Results'!$L$21=A14,6,0)+IF('Race Results'!$M$21=A14,4,0)+IF('Race Results'!$N$21=A14,2,0)+IF('Race Results'!$O$21=A14,1,0)+IF(AND('Race Results'!$Q$21=A14,'Race Results'!$R$21="Yes"),1,0),0)</f>
        <v>0</v>
      </c>
      <c r="V14" s="159" t="n">
        <f aca="false">IFERROR(IF('Race Results'!$E$22=A14,25,0)+IF('Race Results'!$G$22=A14,18,0)+IF('Race Results'!$H$22=A14,15,0)+IF('Race Results'!$I$22=A14,12,0)+IF('Race Results'!$J$22=A14,10,0)+IF('Race Results'!$K$22=A14,8,0)+IF('Race Results'!$L$22=A14,6,0)+IF('Race Results'!$M$22=A14,4,0)+IF('Race Results'!$N$22=A14,2,0)+IF('Race Results'!$O$22=A14,1,0)+IF(AND('Race Results'!$Q$22=A14,'Race Results'!$R$22="Yes"),1,0),0)</f>
        <v>0</v>
      </c>
      <c r="W14" s="159" t="n">
        <f aca="false">IFERROR(IF('Race Results'!$E$23=A14,25,0)+IF('Race Results'!$G$23=A14,18,0)+IF('Race Results'!$H$23=A14,15,0)+IF('Race Results'!$I$23=A14,12,0)+IF('Race Results'!$J$23=A14,10,0)+IF('Race Results'!$K$23=A14,8,0)+IF('Race Results'!$L$23=A14,6,0)+IF('Race Results'!$M$23=A14,4,0)+IF('Race Results'!$N$23=A14,2,0)+IF('Race Results'!$O$23=A14,1,0)+IF(AND('Race Results'!$Q$23=A14,'Race Results'!$R$23="Yes"),1,0),0)</f>
        <v>0</v>
      </c>
      <c r="X14" s="159" t="n">
        <f aca="false">IFERROR(IF('Race Results'!$E$24=A14,25,0)+IF('Race Results'!$G$24=A14,18,0)+IF('Race Results'!$H$24=A14,15,0)+IF('Race Results'!$I$24=A14,12,0)+IF('Race Results'!$J$24=A14,10,0)+IF('Race Results'!$K$24=A14,8,0)+IF('Race Results'!$L$24=A14,6,0)+IF('Race Results'!$M$24=A14,4,0)+IF('Race Results'!$N$24=A14,2,0)+IF('Race Results'!$O$24=A14,1,0)+IF(AND('Race Results'!$Q$24=A14,'Race Results'!$R$24="Yes"),1,0),0)</f>
        <v>0</v>
      </c>
      <c r="Y14" s="159" t="n">
        <f aca="false">IFERROR(IF('Race Results'!$E$25=A14,25,0)+IF('Race Results'!$G$25=A14,18,0)+IF('Race Results'!$H$25=A14,15,0)+IF('Race Results'!$I$25=A14,12,0)+IF('Race Results'!$J$25=A14,10,0)+IF('Race Results'!$K$25=A14,8,0)+IF('Race Results'!$L$25=A14,6,0)+IF('Race Results'!$M$25=A14,4,0)+IF('Race Results'!$N$25=A14,2,0)+IF('Race Results'!$O$25=A14,1,0)+IF(AND('Race Results'!$Q$25=A14,'Race Results'!$R$25="Yes"),1,0),0)</f>
        <v>0</v>
      </c>
    </row>
    <row r="15" customFormat="false" ht="14.25" hidden="false" customHeight="true" outlineLevel="0" collapsed="false">
      <c r="A15" s="1" t="s">
        <v>56</v>
      </c>
      <c r="B15" s="159" t="n">
        <f aca="false">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</f>
        <v>2</v>
      </c>
      <c r="C15" s="159" t="n">
        <f aca="false">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</f>
        <v>0</v>
      </c>
      <c r="D15" s="159" t="n">
        <f aca="false">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</f>
        <v>0</v>
      </c>
      <c r="E15" s="159" t="n">
        <f aca="false">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</f>
        <v>0</v>
      </c>
      <c r="F15" s="159" t="n">
        <f aca="false">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</f>
        <v>0</v>
      </c>
      <c r="G15" s="159" t="n">
        <f aca="false">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</f>
        <v>0</v>
      </c>
      <c r="H15" s="159" t="n">
        <f aca="false">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</f>
        <v>0</v>
      </c>
      <c r="I15" s="159" t="n">
        <f aca="false">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</f>
        <v>0</v>
      </c>
      <c r="J15" s="159" t="n">
        <f aca="false">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</f>
        <v>0</v>
      </c>
      <c r="K15" s="159" t="n">
        <f aca="false">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</f>
        <v>0</v>
      </c>
      <c r="L15" s="159" t="n">
        <f aca="false">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</f>
        <v>0</v>
      </c>
      <c r="M15" s="159" t="n">
        <f aca="false">IFERROR(IF('Race Results'!$E$13=A15,25,0)+IF('Race Results'!$G$13=A15,18,0)+IF('Race Results'!$H$13=A15,15,0)+IF('Race Results'!$I$13=A15,12,0)+IF('Race Results'!$J$13=A15,10,0)+IF('Race Results'!$K$13=A15,8,0)+IF('Race Results'!$L$13=A15,6,0)+IF('Race Results'!$M$13=A15,4,0)+IF('Race Results'!$N$13=A15,2,0)+IF('Race Results'!$O$13=A15,1,0)+IF(AND('Race Results'!$Q$13=A15,'Race Results'!$R$13="Yes"),1,0)+IF('Sprint Results'!$E$5=A15,8,0)+IF('Sprint Results'!$F$5=A15,7,0)+IF('Sprint Results'!$G$5=A15,6,0)+IF('Sprint Results'!$H$5=A15,5,0)+IF('Sprint Results'!$I$5=A15,4,0)+IF('Sprint Results'!$J$5=A15,3,0)+IF('Sprint Results'!$K$5=A15,2,0)+IF('Sprint Results'!$L$5=A15,1,0),0)</f>
        <v>0</v>
      </c>
      <c r="N15" s="159" t="n">
        <f aca="false">IFERROR(IF('Race Results'!$E$14=A15,25,0)+IF('Race Results'!$G$14=A15,18,0)+IF('Race Results'!$H$14=A15,15,0)+IF('Race Results'!$I$14=A15,12,0)+IF('Race Results'!$J$14=A15,10,0)+IF('Race Results'!$K$14=A15,8,0)+IF('Race Results'!$L$14=A15,6,0)+IF('Race Results'!$M$14=A15,4,0)+IF('Race Results'!$N$14=A15,2,0)+IF('Race Results'!$O$14=A15,1,0)+IF(AND('Race Results'!$Q$14=A15,'Race Results'!$R$14="Yes"),1,0),0)</f>
        <v>0</v>
      </c>
      <c r="O15" s="159" t="n">
        <f aca="false">IFERROR(IF('Race Results'!$E$15=A15,25,0)+IF('Race Results'!$G$15=A15,18,0)+IF('Race Results'!$H$15=A15,15,0)+IF('Race Results'!$I$15=A15,12,0)+IF('Race Results'!$J$15=A15,10,0)+IF('Race Results'!$K$15=A15,8,0)+IF('Race Results'!$L$15=A15,6,0)+IF('Race Results'!$M$15=A15,4,0)+IF('Race Results'!$N$15=A15,2,0)+IF('Race Results'!$O$15=A15,1,0)+IF(AND('Race Results'!$Q$15=A15,'Race Results'!$R$15="Yes"),1,0),0)</f>
        <v>0</v>
      </c>
      <c r="P15" s="159" t="n">
        <f aca="false">IFERROR(IF('Race Results'!$E$16=A15,25,0)+IF('Race Results'!$G$16=A15,18,0)+IF('Race Results'!$H$16=A15,15,0)+IF('Race Results'!$I$16=A15,12,0)+IF('Race Results'!$J$16=A15,10,0)+IF('Race Results'!$K$16=A15,8,0)+IF('Race Results'!$L$16=A15,6,0)+IF('Race Results'!$M$16=A15,4,0)+IF('Race Results'!$N$16=A15,2,0)+IF('Race Results'!$O$16=A15,1,0)+IF(AND('Race Results'!$Q$16=A15,'Race Results'!$R$16="Yes"),1,0)+IF('Sprint Results'!$E$6=A15,8,0)+IF('Sprint Results'!$F$6=A15,7,0)+IF('Sprint Results'!$G$6=A15,6,0)+IF('Sprint Results'!$H$6=A15,5,0)+IF('Sprint Results'!$I$6=A15,4,0)+IF('Sprint Results'!$J$6=A15,3,0)+IF('Sprint Results'!$K$6=A15,2,0)+IF('Sprint Results'!$L$6=A15,1,0),0)</f>
        <v>0</v>
      </c>
      <c r="Q15" s="159" t="n">
        <f aca="false">IFERROR(IF('Race Results'!$E$17=A15,25,0)+IF('Race Results'!$G$17=A15,18,0)+IF('Race Results'!$H$17=A15,15,0)+IF('Race Results'!$I$17=A15,12,0)+IF('Race Results'!$J$17=A15,10,0)+IF('Race Results'!$K$17=A15,8,0)+IF('Race Results'!$L$17=A15,6,0)+IF('Race Results'!$M$17=A15,4,0)+IF('Race Results'!$N$17=A15,2,0)+IF('Race Results'!$O$17=A15,1,0)+IF(AND('Race Results'!$Q$17=A15,'Race Results'!$R$17="Yes"),1,0),0)</f>
        <v>0</v>
      </c>
      <c r="R15" s="159" t="n">
        <f aca="false">IFERROR(IF('Race Results'!$E$18=A15,25,0)+IF('Race Results'!$G$18=A15,18,0)+IF('Race Results'!$H$18=A15,15,0)+IF('Race Results'!$I$18=A15,12,0)+IF('Race Results'!$J$18=A15,10,0)+IF('Race Results'!$K$18=A15,8,0)+IF('Race Results'!$L$18=A15,6,0)+IF('Race Results'!$M$18=A15,4,0)+IF('Race Results'!$N$18=A15,2,0)+IF('Race Results'!$O$18=A15,1,0)+IF(AND('Race Results'!$Q$18=A15,'Race Results'!$R$18="Yes"),1,0),0)</f>
        <v>0</v>
      </c>
      <c r="S15" s="159" t="n">
        <f aca="false">IFERROR(IF('Race Results'!$E$19=A15,25,0)+IF('Race Results'!$G$19=A15,18,0)+IF('Race Results'!$H$19=A15,15,0)+IF('Race Results'!$I$19=A15,12,0)+IF('Race Results'!$J$19=A15,10,0)+IF('Race Results'!$K$19=A15,8,0)+IF('Race Results'!$L$19=A15,6,0)+IF('Race Results'!$M$19=A15,4,0)+IF('Race Results'!$N$19=A15,2,0)+IF('Race Results'!$O$19=A15,1,0)+IF(AND('Race Results'!$Q$19=A15,'Race Results'!$R$19="Yes"),1,0)+IF('Sprint Results'!$E$7=A15,8,0)+IF('Sprint Results'!$F$7=A15,7,0)+IF('Sprint Results'!$G$7=A15,6,0)+IF('Sprint Results'!$H$7=A15,5,0)+IF('Sprint Results'!$I$7=A15,4,0)+IF('Sprint Results'!$J$7=A15,3,0)+IF('Sprint Results'!$K$7=A15,2,0)+IF('Sprint Results'!$L$7=A15,1,0),0)</f>
        <v>0</v>
      </c>
      <c r="T15" s="159" t="n">
        <f aca="false">IFERROR(IF('Race Results'!$E$20=A15,25,0)+IF('Race Results'!$G$20=A15,18,0)+IF('Race Results'!$H$20=A15,15,0)+IF('Race Results'!$I$20=A15,12,0)+IF('Race Results'!$J$20=A15,10,0)+IF('Race Results'!$K$20=A15,8,0)+IF('Race Results'!$L$20=A15,6,0)+IF('Race Results'!$M$20=A15,4,0)+IF('Race Results'!$N$20=A15,2,0)+IF('Race Results'!$O$20=A15,1,0)+IF(AND('Race Results'!$Q$20=A15,'Race Results'!$R$20="Yes"),1,0),0)</f>
        <v>0</v>
      </c>
      <c r="U15" s="159" t="n">
        <f aca="false">IFERROR(IF('Race Results'!$E$21=A15,25,0)+IF('Race Results'!$G$21=A15,18,0)+IF('Race Results'!$H$21=A15,15,0)+IF('Race Results'!$I$21=A15,12,0)+IF('Race Results'!$J$21=A15,10,0)+IF('Race Results'!$K$21=A15,8,0)+IF('Race Results'!$L$21=A15,6,0)+IF('Race Results'!$M$21=A15,4,0)+IF('Race Results'!$N$21=A15,2,0)+IF('Race Results'!$O$21=A15,1,0)+IF(AND('Race Results'!$Q$21=A15,'Race Results'!$R$21="Yes"),1,0),0)</f>
        <v>0</v>
      </c>
      <c r="V15" s="159" t="n">
        <f aca="false">IFERROR(IF('Race Results'!$E$22=A15,25,0)+IF('Race Results'!$G$22=A15,18,0)+IF('Race Results'!$H$22=A15,15,0)+IF('Race Results'!$I$22=A15,12,0)+IF('Race Results'!$J$22=A15,10,0)+IF('Race Results'!$K$22=A15,8,0)+IF('Race Results'!$L$22=A15,6,0)+IF('Race Results'!$M$22=A15,4,0)+IF('Race Results'!$N$22=A15,2,0)+IF('Race Results'!$O$22=A15,1,0)+IF(AND('Race Results'!$Q$22=A15,'Race Results'!$R$22="Yes"),1,0),0)</f>
        <v>0</v>
      </c>
      <c r="W15" s="159" t="n">
        <f aca="false">IFERROR(IF('Race Results'!$E$23=A15,25,0)+IF('Race Results'!$G$23=A15,18,0)+IF('Race Results'!$H$23=A15,15,0)+IF('Race Results'!$I$23=A15,12,0)+IF('Race Results'!$J$23=A15,10,0)+IF('Race Results'!$K$23=A15,8,0)+IF('Race Results'!$L$23=A15,6,0)+IF('Race Results'!$M$23=A15,4,0)+IF('Race Results'!$N$23=A15,2,0)+IF('Race Results'!$O$23=A15,1,0)+IF(AND('Race Results'!$Q$23=A15,'Race Results'!$R$23="Yes"),1,0),0)</f>
        <v>0</v>
      </c>
      <c r="X15" s="159" t="n">
        <f aca="false">IFERROR(IF('Race Results'!$E$24=A15,25,0)+IF('Race Results'!$G$24=A15,18,0)+IF('Race Results'!$H$24=A15,15,0)+IF('Race Results'!$I$24=A15,12,0)+IF('Race Results'!$J$24=A15,10,0)+IF('Race Results'!$K$24=A15,8,0)+IF('Race Results'!$L$24=A15,6,0)+IF('Race Results'!$M$24=A15,4,0)+IF('Race Results'!$N$24=A15,2,0)+IF('Race Results'!$O$24=A15,1,0)+IF(AND('Race Results'!$Q$24=A15,'Race Results'!$R$24="Yes"),1,0),0)</f>
        <v>0</v>
      </c>
      <c r="Y15" s="159" t="n">
        <f aca="false">IFERROR(IF('Race Results'!$E$25=A15,25,0)+IF('Race Results'!$G$25=A15,18,0)+IF('Race Results'!$H$25=A15,15,0)+IF('Race Results'!$I$25=A15,12,0)+IF('Race Results'!$J$25=A15,10,0)+IF('Race Results'!$K$25=A15,8,0)+IF('Race Results'!$L$25=A15,6,0)+IF('Race Results'!$M$25=A15,4,0)+IF('Race Results'!$N$25=A15,2,0)+IF('Race Results'!$O$25=A15,1,0)+IF(AND('Race Results'!$Q$25=A15,'Race Results'!$R$25="Yes"),1,0),0)</f>
        <v>0</v>
      </c>
    </row>
    <row r="16" customFormat="false" ht="14.25" hidden="false" customHeight="true" outlineLevel="0" collapsed="false">
      <c r="A16" s="1" t="s">
        <v>64</v>
      </c>
      <c r="B16" s="159" t="n">
        <f aca="false">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</f>
        <v>0</v>
      </c>
      <c r="C16" s="159" t="n">
        <f aca="false">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</f>
        <v>1</v>
      </c>
      <c r="D16" s="159" t="n">
        <f aca="false">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</f>
        <v>0</v>
      </c>
      <c r="E16" s="159" t="n">
        <f aca="false">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</f>
        <v>0</v>
      </c>
      <c r="F16" s="159" t="n">
        <f aca="false">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</f>
        <v>0</v>
      </c>
      <c r="G16" s="159" t="n">
        <f aca="false">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</f>
        <v>0</v>
      </c>
      <c r="H16" s="159" t="n">
        <f aca="false">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</f>
        <v>0</v>
      </c>
      <c r="I16" s="159" t="n">
        <f aca="false">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</f>
        <v>0</v>
      </c>
      <c r="J16" s="159" t="n">
        <f aca="false">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</f>
        <v>0</v>
      </c>
      <c r="K16" s="159" t="n">
        <f aca="false">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</f>
        <v>0</v>
      </c>
      <c r="L16" s="159" t="n">
        <f aca="false">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</f>
        <v>0</v>
      </c>
      <c r="M16" s="159" t="n">
        <f aca="false">IFERROR(IF('Race Results'!$E$13=A16,25,0)+IF('Race Results'!$G$13=A16,18,0)+IF('Race Results'!$H$13=A16,15,0)+IF('Race Results'!$I$13=A16,12,0)+IF('Race Results'!$J$13=A16,10,0)+IF('Race Results'!$K$13=A16,8,0)+IF('Race Results'!$L$13=A16,6,0)+IF('Race Results'!$M$13=A16,4,0)+IF('Race Results'!$N$13=A16,2,0)+IF('Race Results'!$O$13=A16,1,0)+IF(AND('Race Results'!$Q$13=A16,'Race Results'!$R$13="Yes"),1,0)+IF('Sprint Results'!$E$5=A16,8,0)+IF('Sprint Results'!$F$5=A16,7,0)+IF('Sprint Results'!$G$5=A16,6,0)+IF('Sprint Results'!$H$5=A16,5,0)+IF('Sprint Results'!$I$5=A16,4,0)+IF('Sprint Results'!$J$5=A16,3,0)+IF('Sprint Results'!$K$5=A16,2,0)+IF('Sprint Results'!$L$5=A16,1,0),0)</f>
        <v>0</v>
      </c>
      <c r="N16" s="159" t="n">
        <f aca="false">IFERROR(IF('Race Results'!$E$14=A16,25,0)+IF('Race Results'!$G$14=A16,18,0)+IF('Race Results'!$H$14=A16,15,0)+IF('Race Results'!$I$14=A16,12,0)+IF('Race Results'!$J$14=A16,10,0)+IF('Race Results'!$K$14=A16,8,0)+IF('Race Results'!$L$14=A16,6,0)+IF('Race Results'!$M$14=A16,4,0)+IF('Race Results'!$N$14=A16,2,0)+IF('Race Results'!$O$14=A16,1,0)+IF(AND('Race Results'!$Q$14=A16,'Race Results'!$R$14="Yes"),1,0),0)</f>
        <v>0</v>
      </c>
      <c r="O16" s="159" t="n">
        <f aca="false">IFERROR(IF('Race Results'!$E$15=A16,25,0)+IF('Race Results'!$G$15=A16,18,0)+IF('Race Results'!$H$15=A16,15,0)+IF('Race Results'!$I$15=A16,12,0)+IF('Race Results'!$J$15=A16,10,0)+IF('Race Results'!$K$15=A16,8,0)+IF('Race Results'!$L$15=A16,6,0)+IF('Race Results'!$M$15=A16,4,0)+IF('Race Results'!$N$15=A16,2,0)+IF('Race Results'!$O$15=A16,1,0)+IF(AND('Race Results'!$Q$15=A16,'Race Results'!$R$15="Yes"),1,0),0)</f>
        <v>0</v>
      </c>
      <c r="P16" s="159" t="n">
        <f aca="false">IFERROR(IF('Race Results'!$E$16=A16,25,0)+IF('Race Results'!$G$16=A16,18,0)+IF('Race Results'!$H$16=A16,15,0)+IF('Race Results'!$I$16=A16,12,0)+IF('Race Results'!$J$16=A16,10,0)+IF('Race Results'!$K$16=A16,8,0)+IF('Race Results'!$L$16=A16,6,0)+IF('Race Results'!$M$16=A16,4,0)+IF('Race Results'!$N$16=A16,2,0)+IF('Race Results'!$O$16=A16,1,0)+IF(AND('Race Results'!$Q$16=A16,'Race Results'!$R$16="Yes"),1,0)+IF('Sprint Results'!$E$6=A16,8,0)+IF('Sprint Results'!$F$6=A16,7,0)+IF('Sprint Results'!$G$6=A16,6,0)+IF('Sprint Results'!$H$6=A16,5,0)+IF('Sprint Results'!$I$6=A16,4,0)+IF('Sprint Results'!$J$6=A16,3,0)+IF('Sprint Results'!$K$6=A16,2,0)+IF('Sprint Results'!$L$6=A16,1,0),0)</f>
        <v>0</v>
      </c>
      <c r="Q16" s="159" t="n">
        <f aca="false">IFERROR(IF('Race Results'!$E$17=A16,25,0)+IF('Race Results'!$G$17=A16,18,0)+IF('Race Results'!$H$17=A16,15,0)+IF('Race Results'!$I$17=A16,12,0)+IF('Race Results'!$J$17=A16,10,0)+IF('Race Results'!$K$17=A16,8,0)+IF('Race Results'!$L$17=A16,6,0)+IF('Race Results'!$M$17=A16,4,0)+IF('Race Results'!$N$17=A16,2,0)+IF('Race Results'!$O$17=A16,1,0)+IF(AND('Race Results'!$Q$17=A16,'Race Results'!$R$17="Yes"),1,0),0)</f>
        <v>0</v>
      </c>
      <c r="R16" s="159" t="n">
        <f aca="false">IFERROR(IF('Race Results'!$E$18=A16,25,0)+IF('Race Results'!$G$18=A16,18,0)+IF('Race Results'!$H$18=A16,15,0)+IF('Race Results'!$I$18=A16,12,0)+IF('Race Results'!$J$18=A16,10,0)+IF('Race Results'!$K$18=A16,8,0)+IF('Race Results'!$L$18=A16,6,0)+IF('Race Results'!$M$18=A16,4,0)+IF('Race Results'!$N$18=A16,2,0)+IF('Race Results'!$O$18=A16,1,0)+IF(AND('Race Results'!$Q$18=A16,'Race Results'!$R$18="Yes"),1,0),0)</f>
        <v>0</v>
      </c>
      <c r="S16" s="159" t="n">
        <f aca="false">IFERROR(IF('Race Results'!$E$19=A16,25,0)+IF('Race Results'!$G$19=A16,18,0)+IF('Race Results'!$H$19=A16,15,0)+IF('Race Results'!$I$19=A16,12,0)+IF('Race Results'!$J$19=A16,10,0)+IF('Race Results'!$K$19=A16,8,0)+IF('Race Results'!$L$19=A16,6,0)+IF('Race Results'!$M$19=A16,4,0)+IF('Race Results'!$N$19=A16,2,0)+IF('Race Results'!$O$19=A16,1,0)+IF(AND('Race Results'!$Q$19=A16,'Race Results'!$R$19="Yes"),1,0)+IF('Sprint Results'!$E$7=A16,8,0)+IF('Sprint Results'!$F$7=A16,7,0)+IF('Sprint Results'!$G$7=A16,6,0)+IF('Sprint Results'!$H$7=A16,5,0)+IF('Sprint Results'!$I$7=A16,4,0)+IF('Sprint Results'!$J$7=A16,3,0)+IF('Sprint Results'!$K$7=A16,2,0)+IF('Sprint Results'!$L$7=A16,1,0),0)</f>
        <v>0</v>
      </c>
      <c r="T16" s="159" t="n">
        <f aca="false">IFERROR(IF('Race Results'!$E$20=A16,25,0)+IF('Race Results'!$G$20=A16,18,0)+IF('Race Results'!$H$20=A16,15,0)+IF('Race Results'!$I$20=A16,12,0)+IF('Race Results'!$J$20=A16,10,0)+IF('Race Results'!$K$20=A16,8,0)+IF('Race Results'!$L$20=A16,6,0)+IF('Race Results'!$M$20=A16,4,0)+IF('Race Results'!$N$20=A16,2,0)+IF('Race Results'!$O$20=A16,1,0)+IF(AND('Race Results'!$Q$20=A16,'Race Results'!$R$20="Yes"),1,0),0)</f>
        <v>0</v>
      </c>
      <c r="U16" s="159" t="n">
        <f aca="false">IFERROR(IF('Race Results'!$E$21=A16,25,0)+IF('Race Results'!$G$21=A16,18,0)+IF('Race Results'!$H$21=A16,15,0)+IF('Race Results'!$I$21=A16,12,0)+IF('Race Results'!$J$21=A16,10,0)+IF('Race Results'!$K$21=A16,8,0)+IF('Race Results'!$L$21=A16,6,0)+IF('Race Results'!$M$21=A16,4,0)+IF('Race Results'!$N$21=A16,2,0)+IF('Race Results'!$O$21=A16,1,0)+IF(AND('Race Results'!$Q$21=A16,'Race Results'!$R$21="Yes"),1,0),0)</f>
        <v>0</v>
      </c>
      <c r="V16" s="159" t="n">
        <f aca="false">IFERROR(IF('Race Results'!$E$22=A16,25,0)+IF('Race Results'!$G$22=A16,18,0)+IF('Race Results'!$H$22=A16,15,0)+IF('Race Results'!$I$22=A16,12,0)+IF('Race Results'!$J$22=A16,10,0)+IF('Race Results'!$K$22=A16,8,0)+IF('Race Results'!$L$22=A16,6,0)+IF('Race Results'!$M$22=A16,4,0)+IF('Race Results'!$N$22=A16,2,0)+IF('Race Results'!$O$22=A16,1,0)+IF(AND('Race Results'!$Q$22=A16,'Race Results'!$R$22="Yes"),1,0),0)</f>
        <v>0</v>
      </c>
      <c r="W16" s="159" t="n">
        <f aca="false">IFERROR(IF('Race Results'!$E$23=A16,25,0)+IF('Race Results'!$G$23=A16,18,0)+IF('Race Results'!$H$23=A16,15,0)+IF('Race Results'!$I$23=A16,12,0)+IF('Race Results'!$J$23=A16,10,0)+IF('Race Results'!$K$23=A16,8,0)+IF('Race Results'!$L$23=A16,6,0)+IF('Race Results'!$M$23=A16,4,0)+IF('Race Results'!$N$23=A16,2,0)+IF('Race Results'!$O$23=A16,1,0)+IF(AND('Race Results'!$Q$23=A16,'Race Results'!$R$23="Yes"),1,0),0)</f>
        <v>0</v>
      </c>
      <c r="X16" s="159" t="n">
        <f aca="false">IFERROR(IF('Race Results'!$E$24=A16,25,0)+IF('Race Results'!$G$24=A16,18,0)+IF('Race Results'!$H$24=A16,15,0)+IF('Race Results'!$I$24=A16,12,0)+IF('Race Results'!$J$24=A16,10,0)+IF('Race Results'!$K$24=A16,8,0)+IF('Race Results'!$L$24=A16,6,0)+IF('Race Results'!$M$24=A16,4,0)+IF('Race Results'!$N$24=A16,2,0)+IF('Race Results'!$O$24=A16,1,0)+IF(AND('Race Results'!$Q$24=A16,'Race Results'!$R$24="Yes"),1,0),0)</f>
        <v>0</v>
      </c>
      <c r="Y16" s="159" t="n">
        <f aca="false">IFERROR(IF('Race Results'!$E$25=A16,25,0)+IF('Race Results'!$G$25=A16,18,0)+IF('Race Results'!$H$25=A16,15,0)+IF('Race Results'!$I$25=A16,12,0)+IF('Race Results'!$J$25=A16,10,0)+IF('Race Results'!$K$25=A16,8,0)+IF('Race Results'!$L$25=A16,6,0)+IF('Race Results'!$M$25=A16,4,0)+IF('Race Results'!$N$25=A16,2,0)+IF('Race Results'!$O$25=A16,1,0)+IF(AND('Race Results'!$Q$25=A16,'Race Results'!$R$25="Yes"),1,0),0)</f>
        <v>0</v>
      </c>
    </row>
    <row r="17" customFormat="false" ht="14.25" hidden="false" customHeight="true" outlineLevel="0" collapsed="false">
      <c r="A17" s="1" t="s">
        <v>111</v>
      </c>
      <c r="B17" s="159" t="n">
        <f aca="false">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</f>
        <v>0</v>
      </c>
      <c r="C17" s="159" t="n">
        <f aca="false">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</f>
        <v>0</v>
      </c>
      <c r="D17" s="159" t="n">
        <f aca="false">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</f>
        <v>0</v>
      </c>
      <c r="E17" s="159" t="n">
        <f aca="false">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</f>
        <v>0</v>
      </c>
      <c r="F17" s="159" t="n">
        <f aca="false">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</f>
        <v>0</v>
      </c>
      <c r="G17" s="159" t="n">
        <f aca="false">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</f>
        <v>0</v>
      </c>
      <c r="H17" s="159" t="n">
        <f aca="false">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</f>
        <v>0</v>
      </c>
      <c r="I17" s="159" t="n">
        <f aca="false">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</f>
        <v>0</v>
      </c>
      <c r="J17" s="159" t="n">
        <f aca="false">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</f>
        <v>0</v>
      </c>
      <c r="K17" s="159" t="n">
        <f aca="false">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</f>
        <v>0</v>
      </c>
      <c r="L17" s="159" t="n">
        <f aca="false">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</f>
        <v>0</v>
      </c>
      <c r="M17" s="159" t="n">
        <f aca="false">IFERROR(IF('Race Results'!$E$13=A17,25,0)+IF('Race Results'!$G$13=A17,18,0)+IF('Race Results'!$H$13=A17,15,0)+IF('Race Results'!$I$13=A17,12,0)+IF('Race Results'!$J$13=A17,10,0)+IF('Race Results'!$K$13=A17,8,0)+IF('Race Results'!$L$13=A17,6,0)+IF('Race Results'!$M$13=A17,4,0)+IF('Race Results'!$N$13=A17,2,0)+IF('Race Results'!$O$13=A17,1,0)+IF(AND('Race Results'!$Q$13=A17,'Race Results'!$R$13="Yes"),1,0)+IF('Sprint Results'!$E$5=A17,8,0)+IF('Sprint Results'!$F$5=A17,7,0)+IF('Sprint Results'!$G$5=A17,6,0)+IF('Sprint Results'!$H$5=A17,5,0)+IF('Sprint Results'!$I$5=A17,4,0)+IF('Sprint Results'!$J$5=A17,3,0)+IF('Sprint Results'!$K$5=A17,2,0)+IF('Sprint Results'!$L$5=A17,1,0),0)</f>
        <v>0</v>
      </c>
      <c r="N17" s="159" t="n">
        <f aca="false">IFERROR(IF('Race Results'!$E$14=A17,25,0)+IF('Race Results'!$G$14=A17,18,0)+IF('Race Results'!$H$14=A17,15,0)+IF('Race Results'!$I$14=A17,12,0)+IF('Race Results'!$J$14=A17,10,0)+IF('Race Results'!$K$14=A17,8,0)+IF('Race Results'!$L$14=A17,6,0)+IF('Race Results'!$M$14=A17,4,0)+IF('Race Results'!$N$14=A17,2,0)+IF('Race Results'!$O$14=A17,1,0)+IF(AND('Race Results'!$Q$14=A17,'Race Results'!$R$14="Yes"),1,0),0)</f>
        <v>0</v>
      </c>
      <c r="O17" s="159" t="n">
        <f aca="false">IFERROR(IF('Race Results'!$E$15=A17,25,0)+IF('Race Results'!$G$15=A17,18,0)+IF('Race Results'!$H$15=A17,15,0)+IF('Race Results'!$I$15=A17,12,0)+IF('Race Results'!$J$15=A17,10,0)+IF('Race Results'!$K$15=A17,8,0)+IF('Race Results'!$L$15=A17,6,0)+IF('Race Results'!$M$15=A17,4,0)+IF('Race Results'!$N$15=A17,2,0)+IF('Race Results'!$O$15=A17,1,0)+IF(AND('Race Results'!$Q$15=A17,'Race Results'!$R$15="Yes"),1,0),0)</f>
        <v>0</v>
      </c>
      <c r="P17" s="159" t="n">
        <f aca="false">IFERROR(IF('Race Results'!$E$16=A17,25,0)+IF('Race Results'!$G$16=A17,18,0)+IF('Race Results'!$H$16=A17,15,0)+IF('Race Results'!$I$16=A17,12,0)+IF('Race Results'!$J$16=A17,10,0)+IF('Race Results'!$K$16=A17,8,0)+IF('Race Results'!$L$16=A17,6,0)+IF('Race Results'!$M$16=A17,4,0)+IF('Race Results'!$N$16=A17,2,0)+IF('Race Results'!$O$16=A17,1,0)+IF(AND('Race Results'!$Q$16=A17,'Race Results'!$R$16="Yes"),1,0)+IF('Sprint Results'!$E$6=A17,8,0)+IF('Sprint Results'!$F$6=A17,7,0)+IF('Sprint Results'!$G$6=A17,6,0)+IF('Sprint Results'!$H$6=A17,5,0)+IF('Sprint Results'!$I$6=A17,4,0)+IF('Sprint Results'!$J$6=A17,3,0)+IF('Sprint Results'!$K$6=A17,2,0)+IF('Sprint Results'!$L$6=A17,1,0),0)</f>
        <v>0</v>
      </c>
      <c r="Q17" s="159" t="n">
        <f aca="false">IFERROR(IF('Race Results'!$E$17=A17,25,0)+IF('Race Results'!$G$17=A17,18,0)+IF('Race Results'!$H$17=A17,15,0)+IF('Race Results'!$I$17=A17,12,0)+IF('Race Results'!$J$17=A17,10,0)+IF('Race Results'!$K$17=A17,8,0)+IF('Race Results'!$L$17=A17,6,0)+IF('Race Results'!$M$17=A17,4,0)+IF('Race Results'!$N$17=A17,2,0)+IF('Race Results'!$O$17=A17,1,0)+IF(AND('Race Results'!$Q$17=A17,'Race Results'!$R$17="Yes"),1,0),0)</f>
        <v>0</v>
      </c>
      <c r="R17" s="159" t="n">
        <f aca="false">IFERROR(IF('Race Results'!$E$18=A17,25,0)+IF('Race Results'!$G$18=A17,18,0)+IF('Race Results'!$H$18=A17,15,0)+IF('Race Results'!$I$18=A17,12,0)+IF('Race Results'!$J$18=A17,10,0)+IF('Race Results'!$K$18=A17,8,0)+IF('Race Results'!$L$18=A17,6,0)+IF('Race Results'!$M$18=A17,4,0)+IF('Race Results'!$N$18=A17,2,0)+IF('Race Results'!$O$18=A17,1,0)+IF(AND('Race Results'!$Q$18=A17,'Race Results'!$R$18="Yes"),1,0),0)</f>
        <v>0</v>
      </c>
      <c r="S17" s="159" t="n">
        <f aca="false">IFERROR(IF('Race Results'!$E$19=A17,25,0)+IF('Race Results'!$G$19=A17,18,0)+IF('Race Results'!$H$19=A17,15,0)+IF('Race Results'!$I$19=A17,12,0)+IF('Race Results'!$J$19=A17,10,0)+IF('Race Results'!$K$19=A17,8,0)+IF('Race Results'!$L$19=A17,6,0)+IF('Race Results'!$M$19=A17,4,0)+IF('Race Results'!$N$19=A17,2,0)+IF('Race Results'!$O$19=A17,1,0)+IF(AND('Race Results'!$Q$19=A17,'Race Results'!$R$19="Yes"),1,0)+IF('Sprint Results'!$E$7=A17,8,0)+IF('Sprint Results'!$F$7=A17,7,0)+IF('Sprint Results'!$G$7=A17,6,0)+IF('Sprint Results'!$H$7=A17,5,0)+IF('Sprint Results'!$I$7=A17,4,0)+IF('Sprint Results'!$J$7=A17,3,0)+IF('Sprint Results'!$K$7=A17,2,0)+IF('Sprint Results'!$L$7=A17,1,0),0)</f>
        <v>0</v>
      </c>
      <c r="T17" s="159" t="n">
        <f aca="false">IFERROR(IF('Race Results'!$E$20=A17,25,0)+IF('Race Results'!$G$20=A17,18,0)+IF('Race Results'!$H$20=A17,15,0)+IF('Race Results'!$I$20=A17,12,0)+IF('Race Results'!$J$20=A17,10,0)+IF('Race Results'!$K$20=A17,8,0)+IF('Race Results'!$L$20=A17,6,0)+IF('Race Results'!$M$20=A17,4,0)+IF('Race Results'!$N$20=A17,2,0)+IF('Race Results'!$O$20=A17,1,0)+IF(AND('Race Results'!$Q$20=A17,'Race Results'!$R$20="Yes"),1,0),0)</f>
        <v>0</v>
      </c>
      <c r="U17" s="159" t="n">
        <f aca="false">IFERROR(IF('Race Results'!$E$21=A17,25,0)+IF('Race Results'!$G$21=A17,18,0)+IF('Race Results'!$H$21=A17,15,0)+IF('Race Results'!$I$21=A17,12,0)+IF('Race Results'!$J$21=A17,10,0)+IF('Race Results'!$K$21=A17,8,0)+IF('Race Results'!$L$21=A17,6,0)+IF('Race Results'!$M$21=A17,4,0)+IF('Race Results'!$N$21=A17,2,0)+IF('Race Results'!$O$21=A17,1,0)+IF(AND('Race Results'!$Q$21=A17,'Race Results'!$R$21="Yes"),1,0),0)</f>
        <v>0</v>
      </c>
      <c r="V17" s="159" t="n">
        <f aca="false">IFERROR(IF('Race Results'!$E$22=A17,25,0)+IF('Race Results'!$G$22=A17,18,0)+IF('Race Results'!$H$22=A17,15,0)+IF('Race Results'!$I$22=A17,12,0)+IF('Race Results'!$J$22=A17,10,0)+IF('Race Results'!$K$22=A17,8,0)+IF('Race Results'!$L$22=A17,6,0)+IF('Race Results'!$M$22=A17,4,0)+IF('Race Results'!$N$22=A17,2,0)+IF('Race Results'!$O$22=A17,1,0)+IF(AND('Race Results'!$Q$22=A17,'Race Results'!$R$22="Yes"),1,0),0)</f>
        <v>0</v>
      </c>
      <c r="W17" s="159" t="n">
        <f aca="false">IFERROR(IF('Race Results'!$E$23=A17,25,0)+IF('Race Results'!$G$23=A17,18,0)+IF('Race Results'!$H$23=A17,15,0)+IF('Race Results'!$I$23=A17,12,0)+IF('Race Results'!$J$23=A17,10,0)+IF('Race Results'!$K$23=A17,8,0)+IF('Race Results'!$L$23=A17,6,0)+IF('Race Results'!$M$23=A17,4,0)+IF('Race Results'!$N$23=A17,2,0)+IF('Race Results'!$O$23=A17,1,0)+IF(AND('Race Results'!$Q$23=A17,'Race Results'!$R$23="Yes"),1,0),0)</f>
        <v>0</v>
      </c>
      <c r="X17" s="159" t="n">
        <f aca="false">IFERROR(IF('Race Results'!$E$24=A17,25,0)+IF('Race Results'!$G$24=A17,18,0)+IF('Race Results'!$H$24=A17,15,0)+IF('Race Results'!$I$24=A17,12,0)+IF('Race Results'!$J$24=A17,10,0)+IF('Race Results'!$K$24=A17,8,0)+IF('Race Results'!$L$24=A17,6,0)+IF('Race Results'!$M$24=A17,4,0)+IF('Race Results'!$N$24=A17,2,0)+IF('Race Results'!$O$24=A17,1,0)+IF(AND('Race Results'!$Q$24=A17,'Race Results'!$R$24="Yes"),1,0),0)</f>
        <v>0</v>
      </c>
      <c r="Y17" s="159" t="n">
        <f aca="false">IFERROR(IF('Race Results'!$E$25=A17,25,0)+IF('Race Results'!$G$25=A17,18,0)+IF('Race Results'!$H$25=A17,15,0)+IF('Race Results'!$I$25=A17,12,0)+IF('Race Results'!$J$25=A17,10,0)+IF('Race Results'!$K$25=A17,8,0)+IF('Race Results'!$L$25=A17,6,0)+IF('Race Results'!$M$25=A17,4,0)+IF('Race Results'!$N$25=A17,2,0)+IF('Race Results'!$O$25=A17,1,0)+IF(AND('Race Results'!$Q$25=A17,'Race Results'!$R$25="Yes"),1,0),0)</f>
        <v>0</v>
      </c>
    </row>
    <row r="18" customFormat="false" ht="14.25" hidden="false" customHeight="true" outlineLevel="0" collapsed="false">
      <c r="A18" s="1" t="s">
        <v>113</v>
      </c>
      <c r="B18" s="159" t="n">
        <f aca="false">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</f>
        <v>0</v>
      </c>
      <c r="C18" s="159" t="n">
        <f aca="false">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</f>
        <v>0</v>
      </c>
      <c r="D18" s="159" t="n">
        <f aca="false">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</f>
        <v>0</v>
      </c>
      <c r="E18" s="159" t="n">
        <f aca="false">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</f>
        <v>0</v>
      </c>
      <c r="F18" s="159" t="n">
        <f aca="false">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</f>
        <v>0</v>
      </c>
      <c r="G18" s="159" t="n">
        <f aca="false">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</f>
        <v>0</v>
      </c>
      <c r="H18" s="159" t="n">
        <f aca="false">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</f>
        <v>0</v>
      </c>
      <c r="I18" s="159" t="n">
        <f aca="false">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</f>
        <v>0</v>
      </c>
      <c r="J18" s="159" t="n">
        <f aca="false">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</f>
        <v>0</v>
      </c>
      <c r="K18" s="159" t="n">
        <f aca="false">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</f>
        <v>0</v>
      </c>
      <c r="L18" s="159" t="n">
        <f aca="false">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</f>
        <v>0</v>
      </c>
      <c r="M18" s="159" t="n">
        <f aca="false">IFERROR(IF('Race Results'!$E$13=A18,25,0)+IF('Race Results'!$G$13=A18,18,0)+IF('Race Results'!$H$13=A18,15,0)+IF('Race Results'!$I$13=A18,12,0)+IF('Race Results'!$J$13=A18,10,0)+IF('Race Results'!$K$13=A18,8,0)+IF('Race Results'!$L$13=A18,6,0)+IF('Race Results'!$M$13=A18,4,0)+IF('Race Results'!$N$13=A18,2,0)+IF('Race Results'!$O$13=A18,1,0)+IF(AND('Race Results'!$Q$13=A18,'Race Results'!$R$13="Yes"),1,0)+IF('Sprint Results'!$E$5=A18,8,0)+IF('Sprint Results'!$F$5=A18,7,0)+IF('Sprint Results'!$G$5=A18,6,0)+IF('Sprint Results'!$H$5=A18,5,0)+IF('Sprint Results'!$I$5=A18,4,0)+IF('Sprint Results'!$J$5=A18,3,0)+IF('Sprint Results'!$K$5=A18,2,0)+IF('Sprint Results'!$L$5=A18,1,0),0)</f>
        <v>0</v>
      </c>
      <c r="N18" s="159" t="n">
        <f aca="false">IFERROR(IF('Race Results'!$E$14=A18,25,0)+IF('Race Results'!$G$14=A18,18,0)+IF('Race Results'!$H$14=A18,15,0)+IF('Race Results'!$I$14=A18,12,0)+IF('Race Results'!$J$14=A18,10,0)+IF('Race Results'!$K$14=A18,8,0)+IF('Race Results'!$L$14=A18,6,0)+IF('Race Results'!$M$14=A18,4,0)+IF('Race Results'!$N$14=A18,2,0)+IF('Race Results'!$O$14=A18,1,0)+IF(AND('Race Results'!$Q$14=A18,'Race Results'!$R$14="Yes"),1,0),0)</f>
        <v>0</v>
      </c>
      <c r="O18" s="159" t="n">
        <f aca="false">IFERROR(IF('Race Results'!$E$15=A18,25,0)+IF('Race Results'!$G$15=A18,18,0)+IF('Race Results'!$H$15=A18,15,0)+IF('Race Results'!$I$15=A18,12,0)+IF('Race Results'!$J$15=A18,10,0)+IF('Race Results'!$K$15=A18,8,0)+IF('Race Results'!$L$15=A18,6,0)+IF('Race Results'!$M$15=A18,4,0)+IF('Race Results'!$N$15=A18,2,0)+IF('Race Results'!$O$15=A18,1,0)+IF(AND('Race Results'!$Q$15=A18,'Race Results'!$R$15="Yes"),1,0),0)</f>
        <v>0</v>
      </c>
      <c r="P18" s="159" t="n">
        <f aca="false">IFERROR(IF('Race Results'!$E$16=A18,25,0)+IF('Race Results'!$G$16=A18,18,0)+IF('Race Results'!$H$16=A18,15,0)+IF('Race Results'!$I$16=A18,12,0)+IF('Race Results'!$J$16=A18,10,0)+IF('Race Results'!$K$16=A18,8,0)+IF('Race Results'!$L$16=A18,6,0)+IF('Race Results'!$M$16=A18,4,0)+IF('Race Results'!$N$16=A18,2,0)+IF('Race Results'!$O$16=A18,1,0)+IF(AND('Race Results'!$Q$16=A18,'Race Results'!$R$16="Yes"),1,0)+IF('Sprint Results'!$E$6=A18,8,0)+IF('Sprint Results'!$F$6=A18,7,0)+IF('Sprint Results'!$G$6=A18,6,0)+IF('Sprint Results'!$H$6=A18,5,0)+IF('Sprint Results'!$I$6=A18,4,0)+IF('Sprint Results'!$J$6=A18,3,0)+IF('Sprint Results'!$K$6=A18,2,0)+IF('Sprint Results'!$L$6=A18,1,0),0)</f>
        <v>0</v>
      </c>
      <c r="Q18" s="159" t="n">
        <f aca="false">IFERROR(IF('Race Results'!$E$17=A18,25,0)+IF('Race Results'!$G$17=A18,18,0)+IF('Race Results'!$H$17=A18,15,0)+IF('Race Results'!$I$17=A18,12,0)+IF('Race Results'!$J$17=A18,10,0)+IF('Race Results'!$K$17=A18,8,0)+IF('Race Results'!$L$17=A18,6,0)+IF('Race Results'!$M$17=A18,4,0)+IF('Race Results'!$N$17=A18,2,0)+IF('Race Results'!$O$17=A18,1,0)+IF(AND('Race Results'!$Q$17=A18,'Race Results'!$R$17="Yes"),1,0),0)</f>
        <v>0</v>
      </c>
      <c r="R18" s="159" t="n">
        <f aca="false">IFERROR(IF('Race Results'!$E$18=A18,25,0)+IF('Race Results'!$G$18=A18,18,0)+IF('Race Results'!$H$18=A18,15,0)+IF('Race Results'!$I$18=A18,12,0)+IF('Race Results'!$J$18=A18,10,0)+IF('Race Results'!$K$18=A18,8,0)+IF('Race Results'!$L$18=A18,6,0)+IF('Race Results'!$M$18=A18,4,0)+IF('Race Results'!$N$18=A18,2,0)+IF('Race Results'!$O$18=A18,1,0)+IF(AND('Race Results'!$Q$18=A18,'Race Results'!$R$18="Yes"),1,0),0)</f>
        <v>0</v>
      </c>
      <c r="S18" s="159" t="n">
        <f aca="false">IFERROR(IF('Race Results'!$E$19=A18,25,0)+IF('Race Results'!$G$19=A18,18,0)+IF('Race Results'!$H$19=A18,15,0)+IF('Race Results'!$I$19=A18,12,0)+IF('Race Results'!$J$19=A18,10,0)+IF('Race Results'!$K$19=A18,8,0)+IF('Race Results'!$L$19=A18,6,0)+IF('Race Results'!$M$19=A18,4,0)+IF('Race Results'!$N$19=A18,2,0)+IF('Race Results'!$O$19=A18,1,0)+IF(AND('Race Results'!$Q$19=A18,'Race Results'!$R$19="Yes"),1,0)+IF('Sprint Results'!$E$7=A18,8,0)+IF('Sprint Results'!$F$7=A18,7,0)+IF('Sprint Results'!$G$7=A18,6,0)+IF('Sprint Results'!$H$7=A18,5,0)+IF('Sprint Results'!$I$7=A18,4,0)+IF('Sprint Results'!$J$7=A18,3,0)+IF('Sprint Results'!$K$7=A18,2,0)+IF('Sprint Results'!$L$7=A18,1,0),0)</f>
        <v>0</v>
      </c>
      <c r="T18" s="159" t="n">
        <f aca="false">IFERROR(IF('Race Results'!$E$20=A18,25,0)+IF('Race Results'!$G$20=A18,18,0)+IF('Race Results'!$H$20=A18,15,0)+IF('Race Results'!$I$20=A18,12,0)+IF('Race Results'!$J$20=A18,10,0)+IF('Race Results'!$K$20=A18,8,0)+IF('Race Results'!$L$20=A18,6,0)+IF('Race Results'!$M$20=A18,4,0)+IF('Race Results'!$N$20=A18,2,0)+IF('Race Results'!$O$20=A18,1,0)+IF(AND('Race Results'!$Q$20=A18,'Race Results'!$R$20="Yes"),1,0),0)</f>
        <v>0</v>
      </c>
      <c r="U18" s="159" t="n">
        <f aca="false">IFERROR(IF('Race Results'!$E$21=A18,25,0)+IF('Race Results'!$G$21=A18,18,0)+IF('Race Results'!$H$21=A18,15,0)+IF('Race Results'!$I$21=A18,12,0)+IF('Race Results'!$J$21=A18,10,0)+IF('Race Results'!$K$21=A18,8,0)+IF('Race Results'!$L$21=A18,6,0)+IF('Race Results'!$M$21=A18,4,0)+IF('Race Results'!$N$21=A18,2,0)+IF('Race Results'!$O$21=A18,1,0)+IF(AND('Race Results'!$Q$21=A18,'Race Results'!$R$21="Yes"),1,0),0)</f>
        <v>0</v>
      </c>
      <c r="V18" s="159" t="n">
        <f aca="false">IFERROR(IF('Race Results'!$E$22=A18,25,0)+IF('Race Results'!$G$22=A18,18,0)+IF('Race Results'!$H$22=A18,15,0)+IF('Race Results'!$I$22=A18,12,0)+IF('Race Results'!$J$22=A18,10,0)+IF('Race Results'!$K$22=A18,8,0)+IF('Race Results'!$L$22=A18,6,0)+IF('Race Results'!$M$22=A18,4,0)+IF('Race Results'!$N$22=A18,2,0)+IF('Race Results'!$O$22=A18,1,0)+IF(AND('Race Results'!$Q$22=A18,'Race Results'!$R$22="Yes"),1,0),0)</f>
        <v>0</v>
      </c>
      <c r="W18" s="159" t="n">
        <f aca="false">IFERROR(IF('Race Results'!$E$23=A18,25,0)+IF('Race Results'!$G$23=A18,18,0)+IF('Race Results'!$H$23=A18,15,0)+IF('Race Results'!$I$23=A18,12,0)+IF('Race Results'!$J$23=A18,10,0)+IF('Race Results'!$K$23=A18,8,0)+IF('Race Results'!$L$23=A18,6,0)+IF('Race Results'!$M$23=A18,4,0)+IF('Race Results'!$N$23=A18,2,0)+IF('Race Results'!$O$23=A18,1,0)+IF(AND('Race Results'!$Q$23=A18,'Race Results'!$R$23="Yes"),1,0),0)</f>
        <v>0</v>
      </c>
      <c r="X18" s="159" t="n">
        <f aca="false">IFERROR(IF('Race Results'!$E$24=A18,25,0)+IF('Race Results'!$G$24=A18,18,0)+IF('Race Results'!$H$24=A18,15,0)+IF('Race Results'!$I$24=A18,12,0)+IF('Race Results'!$J$24=A18,10,0)+IF('Race Results'!$K$24=A18,8,0)+IF('Race Results'!$L$24=A18,6,0)+IF('Race Results'!$M$24=A18,4,0)+IF('Race Results'!$N$24=A18,2,0)+IF('Race Results'!$O$24=A18,1,0)+IF(AND('Race Results'!$Q$24=A18,'Race Results'!$R$24="Yes"),1,0),0)</f>
        <v>0</v>
      </c>
      <c r="Y18" s="159" t="n">
        <f aca="false">IFERROR(IF('Race Results'!$E$25=A18,25,0)+IF('Race Results'!$G$25=A18,18,0)+IF('Race Results'!$H$25=A18,15,0)+IF('Race Results'!$I$25=A18,12,0)+IF('Race Results'!$J$25=A18,10,0)+IF('Race Results'!$K$25=A18,8,0)+IF('Race Results'!$L$25=A18,6,0)+IF('Race Results'!$M$25=A18,4,0)+IF('Race Results'!$N$25=A18,2,0)+IF('Race Results'!$O$25=A18,1,0)+IF(AND('Race Results'!$Q$25=A18,'Race Results'!$R$25="Yes"),1,0),0)</f>
        <v>0</v>
      </c>
    </row>
    <row r="19" customFormat="false" ht="14.25" hidden="false" customHeight="true" outlineLevel="0" collapsed="false">
      <c r="A19" s="1" t="s">
        <v>114</v>
      </c>
      <c r="B19" s="159" t="n">
        <f aca="false">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</f>
        <v>0</v>
      </c>
      <c r="C19" s="159" t="n">
        <f aca="false">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</f>
        <v>0</v>
      </c>
      <c r="D19" s="159" t="n">
        <f aca="false">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</f>
        <v>0</v>
      </c>
      <c r="E19" s="159" t="n">
        <f aca="false">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</f>
        <v>0</v>
      </c>
      <c r="F19" s="159" t="n">
        <f aca="false">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</f>
        <v>0</v>
      </c>
      <c r="G19" s="159" t="n">
        <f aca="false">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</f>
        <v>0</v>
      </c>
      <c r="H19" s="159" t="n">
        <f aca="false">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</f>
        <v>0</v>
      </c>
      <c r="I19" s="159" t="n">
        <f aca="false">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</f>
        <v>0</v>
      </c>
      <c r="J19" s="159" t="n">
        <f aca="false">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</f>
        <v>0</v>
      </c>
      <c r="K19" s="159" t="n">
        <f aca="false">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</f>
        <v>0</v>
      </c>
      <c r="L19" s="159" t="n">
        <f aca="false">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</f>
        <v>0</v>
      </c>
      <c r="M19" s="159" t="n">
        <f aca="false">IFERROR(IF('Race Results'!$E$13=A19,25,0)+IF('Race Results'!$G$13=A19,18,0)+IF('Race Results'!$H$13=A19,15,0)+IF('Race Results'!$I$13=A19,12,0)+IF('Race Results'!$J$13=A19,10,0)+IF('Race Results'!$K$13=A19,8,0)+IF('Race Results'!$L$13=A19,6,0)+IF('Race Results'!$M$13=A19,4,0)+IF('Race Results'!$N$13=A19,2,0)+IF('Race Results'!$O$13=A19,1,0)+IF(AND('Race Results'!$Q$13=A19,'Race Results'!$R$13="Yes"),1,0)+IF('Sprint Results'!$E$5=A19,8,0)+IF('Sprint Results'!$F$5=A19,7,0)+IF('Sprint Results'!$G$5=A19,6,0)+IF('Sprint Results'!$H$5=A19,5,0)+IF('Sprint Results'!$I$5=A19,4,0)+IF('Sprint Results'!$J$5=A19,3,0)+IF('Sprint Results'!$K$5=A19,2,0)+IF('Sprint Results'!$L$5=A19,1,0),0)</f>
        <v>0</v>
      </c>
      <c r="N19" s="159" t="n">
        <f aca="false">IFERROR(IF('Race Results'!$E$14=A19,25,0)+IF('Race Results'!$G$14=A19,18,0)+IF('Race Results'!$H$14=A19,15,0)+IF('Race Results'!$I$14=A19,12,0)+IF('Race Results'!$J$14=A19,10,0)+IF('Race Results'!$K$14=A19,8,0)+IF('Race Results'!$L$14=A19,6,0)+IF('Race Results'!$M$14=A19,4,0)+IF('Race Results'!$N$14=A19,2,0)+IF('Race Results'!$O$14=A19,1,0)+IF(AND('Race Results'!$Q$14=A19,'Race Results'!$R$14="Yes"),1,0),0)</f>
        <v>0</v>
      </c>
      <c r="O19" s="159" t="n">
        <f aca="false">IFERROR(IF('Race Results'!$E$15=A19,25,0)+IF('Race Results'!$G$15=A19,18,0)+IF('Race Results'!$H$15=A19,15,0)+IF('Race Results'!$I$15=A19,12,0)+IF('Race Results'!$J$15=A19,10,0)+IF('Race Results'!$K$15=A19,8,0)+IF('Race Results'!$L$15=A19,6,0)+IF('Race Results'!$M$15=A19,4,0)+IF('Race Results'!$N$15=A19,2,0)+IF('Race Results'!$O$15=A19,1,0)+IF(AND('Race Results'!$Q$15=A19,'Race Results'!$R$15="Yes"),1,0),0)</f>
        <v>0</v>
      </c>
      <c r="P19" s="159" t="n">
        <f aca="false">IFERROR(IF('Race Results'!$E$16=A19,25,0)+IF('Race Results'!$G$16=A19,18,0)+IF('Race Results'!$H$16=A19,15,0)+IF('Race Results'!$I$16=A19,12,0)+IF('Race Results'!$J$16=A19,10,0)+IF('Race Results'!$K$16=A19,8,0)+IF('Race Results'!$L$16=A19,6,0)+IF('Race Results'!$M$16=A19,4,0)+IF('Race Results'!$N$16=A19,2,0)+IF('Race Results'!$O$16=A19,1,0)+IF(AND('Race Results'!$Q$16=A19,'Race Results'!$R$16="Yes"),1,0)+IF('Sprint Results'!$E$6=A19,8,0)+IF('Sprint Results'!$F$6=A19,7,0)+IF('Sprint Results'!$G$6=A19,6,0)+IF('Sprint Results'!$H$6=A19,5,0)+IF('Sprint Results'!$I$6=A19,4,0)+IF('Sprint Results'!$J$6=A19,3,0)+IF('Sprint Results'!$K$6=A19,2,0)+IF('Sprint Results'!$L$6=A19,1,0),0)</f>
        <v>0</v>
      </c>
      <c r="Q19" s="159" t="n">
        <f aca="false">IFERROR(IF('Race Results'!$E$17=A19,25,0)+IF('Race Results'!$G$17=A19,18,0)+IF('Race Results'!$H$17=A19,15,0)+IF('Race Results'!$I$17=A19,12,0)+IF('Race Results'!$J$17=A19,10,0)+IF('Race Results'!$K$17=A19,8,0)+IF('Race Results'!$L$17=A19,6,0)+IF('Race Results'!$M$17=A19,4,0)+IF('Race Results'!$N$17=A19,2,0)+IF('Race Results'!$O$17=A19,1,0)+IF(AND('Race Results'!$Q$17=A19,'Race Results'!$R$17="Yes"),1,0),0)</f>
        <v>0</v>
      </c>
      <c r="R19" s="159" t="n">
        <f aca="false">IFERROR(IF('Race Results'!$E$18=A19,25,0)+IF('Race Results'!$G$18=A19,18,0)+IF('Race Results'!$H$18=A19,15,0)+IF('Race Results'!$I$18=A19,12,0)+IF('Race Results'!$J$18=A19,10,0)+IF('Race Results'!$K$18=A19,8,0)+IF('Race Results'!$L$18=A19,6,0)+IF('Race Results'!$M$18=A19,4,0)+IF('Race Results'!$N$18=A19,2,0)+IF('Race Results'!$O$18=A19,1,0)+IF(AND('Race Results'!$Q$18=A19,'Race Results'!$R$18="Yes"),1,0),0)</f>
        <v>0</v>
      </c>
      <c r="S19" s="159" t="n">
        <f aca="false">IFERROR(IF('Race Results'!$E$19=A19,25,0)+IF('Race Results'!$G$19=A19,18,0)+IF('Race Results'!$H$19=A19,15,0)+IF('Race Results'!$I$19=A19,12,0)+IF('Race Results'!$J$19=A19,10,0)+IF('Race Results'!$K$19=A19,8,0)+IF('Race Results'!$L$19=A19,6,0)+IF('Race Results'!$M$19=A19,4,0)+IF('Race Results'!$N$19=A19,2,0)+IF('Race Results'!$O$19=A19,1,0)+IF(AND('Race Results'!$Q$19=A19,'Race Results'!$R$19="Yes"),1,0)+IF('Sprint Results'!$E$7=A19,8,0)+IF('Sprint Results'!$F$7=A19,7,0)+IF('Sprint Results'!$G$7=A19,6,0)+IF('Sprint Results'!$H$7=A19,5,0)+IF('Sprint Results'!$I$7=A19,4,0)+IF('Sprint Results'!$J$7=A19,3,0)+IF('Sprint Results'!$K$7=A19,2,0)+IF('Sprint Results'!$L$7=A19,1,0),0)</f>
        <v>0</v>
      </c>
      <c r="T19" s="159" t="n">
        <f aca="false">IFERROR(IF('Race Results'!$E$20=A19,25,0)+IF('Race Results'!$G$20=A19,18,0)+IF('Race Results'!$H$20=A19,15,0)+IF('Race Results'!$I$20=A19,12,0)+IF('Race Results'!$J$20=A19,10,0)+IF('Race Results'!$K$20=A19,8,0)+IF('Race Results'!$L$20=A19,6,0)+IF('Race Results'!$M$20=A19,4,0)+IF('Race Results'!$N$20=A19,2,0)+IF('Race Results'!$O$20=A19,1,0)+IF(AND('Race Results'!$Q$20=A19,'Race Results'!$R$20="Yes"),1,0),0)</f>
        <v>0</v>
      </c>
      <c r="U19" s="159" t="n">
        <f aca="false">IFERROR(IF('Race Results'!$E$21=A19,25,0)+IF('Race Results'!$G$21=A19,18,0)+IF('Race Results'!$H$21=A19,15,0)+IF('Race Results'!$I$21=A19,12,0)+IF('Race Results'!$J$21=A19,10,0)+IF('Race Results'!$K$21=A19,8,0)+IF('Race Results'!$L$21=A19,6,0)+IF('Race Results'!$M$21=A19,4,0)+IF('Race Results'!$N$21=A19,2,0)+IF('Race Results'!$O$21=A19,1,0)+IF(AND('Race Results'!$Q$21=A19,'Race Results'!$R$21="Yes"),1,0),0)</f>
        <v>0</v>
      </c>
      <c r="V19" s="159" t="n">
        <f aca="false">IFERROR(IF('Race Results'!$E$22=A19,25,0)+IF('Race Results'!$G$22=A19,18,0)+IF('Race Results'!$H$22=A19,15,0)+IF('Race Results'!$I$22=A19,12,0)+IF('Race Results'!$J$22=A19,10,0)+IF('Race Results'!$K$22=A19,8,0)+IF('Race Results'!$L$22=A19,6,0)+IF('Race Results'!$M$22=A19,4,0)+IF('Race Results'!$N$22=A19,2,0)+IF('Race Results'!$O$22=A19,1,0)+IF(AND('Race Results'!$Q$22=A19,'Race Results'!$R$22="Yes"),1,0),0)</f>
        <v>0</v>
      </c>
      <c r="W19" s="159" t="n">
        <f aca="false">IFERROR(IF('Race Results'!$E$23=A19,25,0)+IF('Race Results'!$G$23=A19,18,0)+IF('Race Results'!$H$23=A19,15,0)+IF('Race Results'!$I$23=A19,12,0)+IF('Race Results'!$J$23=A19,10,0)+IF('Race Results'!$K$23=A19,8,0)+IF('Race Results'!$L$23=A19,6,0)+IF('Race Results'!$M$23=A19,4,0)+IF('Race Results'!$N$23=A19,2,0)+IF('Race Results'!$O$23=A19,1,0)+IF(AND('Race Results'!$Q$23=A19,'Race Results'!$R$23="Yes"),1,0),0)</f>
        <v>0</v>
      </c>
      <c r="X19" s="159" t="n">
        <f aca="false">IFERROR(IF('Race Results'!$E$24=A19,25,0)+IF('Race Results'!$G$24=A19,18,0)+IF('Race Results'!$H$24=A19,15,0)+IF('Race Results'!$I$24=A19,12,0)+IF('Race Results'!$J$24=A19,10,0)+IF('Race Results'!$K$24=A19,8,0)+IF('Race Results'!$L$24=A19,6,0)+IF('Race Results'!$M$24=A19,4,0)+IF('Race Results'!$N$24=A19,2,0)+IF('Race Results'!$O$24=A19,1,0)+IF(AND('Race Results'!$Q$24=A19,'Race Results'!$R$24="Yes"),1,0),0)</f>
        <v>0</v>
      </c>
      <c r="Y19" s="159" t="n">
        <f aca="false">IFERROR(IF('Race Results'!$E$25=A19,25,0)+IF('Race Results'!$G$25=A19,18,0)+IF('Race Results'!$H$25=A19,15,0)+IF('Race Results'!$I$25=A19,12,0)+IF('Race Results'!$J$25=A19,10,0)+IF('Race Results'!$K$25=A19,8,0)+IF('Race Results'!$L$25=A19,6,0)+IF('Race Results'!$M$25=A19,4,0)+IF('Race Results'!$N$25=A19,2,0)+IF('Race Results'!$O$25=A19,1,0)+IF(AND('Race Results'!$Q$25=A19,'Race Results'!$R$25="Yes"),1,0),0)</f>
        <v>0</v>
      </c>
    </row>
    <row r="20" customFormat="false" ht="14.25" hidden="false" customHeight="true" outlineLevel="0" collapsed="false">
      <c r="A20" s="1" t="s">
        <v>69</v>
      </c>
      <c r="B20" s="159" t="n">
        <f aca="false">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</f>
        <v>0</v>
      </c>
      <c r="C20" s="159" t="n">
        <f aca="false">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</f>
        <v>0</v>
      </c>
      <c r="D20" s="159" t="n">
        <f aca="false">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</f>
        <v>1</v>
      </c>
      <c r="E20" s="159" t="n">
        <f aca="false">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</f>
        <v>0</v>
      </c>
      <c r="F20" s="159" t="n">
        <f aca="false">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</f>
        <v>0</v>
      </c>
      <c r="G20" s="159" t="n">
        <f aca="false">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</f>
        <v>0</v>
      </c>
      <c r="H20" s="159" t="n">
        <f aca="false">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</f>
        <v>0</v>
      </c>
      <c r="I20" s="159" t="n">
        <f aca="false">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</f>
        <v>0</v>
      </c>
      <c r="J20" s="159" t="n">
        <f aca="false">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</f>
        <v>0</v>
      </c>
      <c r="K20" s="159" t="n">
        <f aca="false">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</f>
        <v>0</v>
      </c>
      <c r="L20" s="159" t="n">
        <f aca="false">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</f>
        <v>0</v>
      </c>
      <c r="M20" s="159" t="n">
        <f aca="false">IFERROR(IF('Race Results'!$E$13=A20,25,0)+IF('Race Results'!$G$13=A20,18,0)+IF('Race Results'!$H$13=A20,15,0)+IF('Race Results'!$I$13=A20,12,0)+IF('Race Results'!$J$13=A20,10,0)+IF('Race Results'!$K$13=A20,8,0)+IF('Race Results'!$L$13=A20,6,0)+IF('Race Results'!$M$13=A20,4,0)+IF('Race Results'!$N$13=A20,2,0)+IF('Race Results'!$O$13=A20,1,0)+IF(AND('Race Results'!$Q$13=A20,'Race Results'!$R$13="Yes"),1,0)+IF('Sprint Results'!$E$5=A20,8,0)+IF('Sprint Results'!$F$5=A20,7,0)+IF('Sprint Results'!$G$5=A20,6,0)+IF('Sprint Results'!$H$5=A20,5,0)+IF('Sprint Results'!$I$5=A20,4,0)+IF('Sprint Results'!$J$5=A20,3,0)+IF('Sprint Results'!$K$5=A20,2,0)+IF('Sprint Results'!$L$5=A20,1,0),0)</f>
        <v>0</v>
      </c>
      <c r="N20" s="159" t="n">
        <f aca="false">IFERROR(IF('Race Results'!$E$14=A20,25,0)+IF('Race Results'!$G$14=A20,18,0)+IF('Race Results'!$H$14=A20,15,0)+IF('Race Results'!$I$14=A20,12,0)+IF('Race Results'!$J$14=A20,10,0)+IF('Race Results'!$K$14=A20,8,0)+IF('Race Results'!$L$14=A20,6,0)+IF('Race Results'!$M$14=A20,4,0)+IF('Race Results'!$N$14=A20,2,0)+IF('Race Results'!$O$14=A20,1,0)+IF(AND('Race Results'!$Q$14=A20,'Race Results'!$R$14="Yes"),1,0),0)</f>
        <v>0</v>
      </c>
      <c r="O20" s="159" t="n">
        <f aca="false">IFERROR(IF('Race Results'!$E$15=A20,25,0)+IF('Race Results'!$G$15=A20,18,0)+IF('Race Results'!$H$15=A20,15,0)+IF('Race Results'!$I$15=A20,12,0)+IF('Race Results'!$J$15=A20,10,0)+IF('Race Results'!$K$15=A20,8,0)+IF('Race Results'!$L$15=A20,6,0)+IF('Race Results'!$M$15=A20,4,0)+IF('Race Results'!$N$15=A20,2,0)+IF('Race Results'!$O$15=A20,1,0)+IF(AND('Race Results'!$Q$15=A20,'Race Results'!$R$15="Yes"),1,0),0)</f>
        <v>0</v>
      </c>
      <c r="P20" s="159" t="n">
        <f aca="false">IFERROR(IF('Race Results'!$E$16=A20,25,0)+IF('Race Results'!$G$16=A20,18,0)+IF('Race Results'!$H$16=A20,15,0)+IF('Race Results'!$I$16=A20,12,0)+IF('Race Results'!$J$16=A20,10,0)+IF('Race Results'!$K$16=A20,8,0)+IF('Race Results'!$L$16=A20,6,0)+IF('Race Results'!$M$16=A20,4,0)+IF('Race Results'!$N$16=A20,2,0)+IF('Race Results'!$O$16=A20,1,0)+IF(AND('Race Results'!$Q$16=A20,'Race Results'!$R$16="Yes"),1,0)+IF('Sprint Results'!$E$6=A20,8,0)+IF('Sprint Results'!$F$6=A20,7,0)+IF('Sprint Results'!$G$6=A20,6,0)+IF('Sprint Results'!$H$6=A20,5,0)+IF('Sprint Results'!$I$6=A20,4,0)+IF('Sprint Results'!$J$6=A20,3,0)+IF('Sprint Results'!$K$6=A20,2,0)+IF('Sprint Results'!$L$6=A20,1,0),0)</f>
        <v>0</v>
      </c>
      <c r="Q20" s="159" t="n">
        <f aca="false">IFERROR(IF('Race Results'!$E$17=A20,25,0)+IF('Race Results'!$G$17=A20,18,0)+IF('Race Results'!$H$17=A20,15,0)+IF('Race Results'!$I$17=A20,12,0)+IF('Race Results'!$J$17=A20,10,0)+IF('Race Results'!$K$17=A20,8,0)+IF('Race Results'!$L$17=A20,6,0)+IF('Race Results'!$M$17=A20,4,0)+IF('Race Results'!$N$17=A20,2,0)+IF('Race Results'!$O$17=A20,1,0)+IF(AND('Race Results'!$Q$17=A20,'Race Results'!$R$17="Yes"),1,0),0)</f>
        <v>0</v>
      </c>
      <c r="R20" s="159" t="n">
        <f aca="false">IFERROR(IF('Race Results'!$E$18=A20,25,0)+IF('Race Results'!$G$18=A20,18,0)+IF('Race Results'!$H$18=A20,15,0)+IF('Race Results'!$I$18=A20,12,0)+IF('Race Results'!$J$18=A20,10,0)+IF('Race Results'!$K$18=A20,8,0)+IF('Race Results'!$L$18=A20,6,0)+IF('Race Results'!$M$18=A20,4,0)+IF('Race Results'!$N$18=A20,2,0)+IF('Race Results'!$O$18=A20,1,0)+IF(AND('Race Results'!$Q$18=A20,'Race Results'!$R$18="Yes"),1,0),0)</f>
        <v>0</v>
      </c>
      <c r="S20" s="159" t="n">
        <f aca="false">IFERROR(IF('Race Results'!$E$19=A20,25,0)+IF('Race Results'!$G$19=A20,18,0)+IF('Race Results'!$H$19=A20,15,0)+IF('Race Results'!$I$19=A20,12,0)+IF('Race Results'!$J$19=A20,10,0)+IF('Race Results'!$K$19=A20,8,0)+IF('Race Results'!$L$19=A20,6,0)+IF('Race Results'!$M$19=A20,4,0)+IF('Race Results'!$N$19=A20,2,0)+IF('Race Results'!$O$19=A20,1,0)+IF(AND('Race Results'!$Q$19=A20,'Race Results'!$R$19="Yes"),1,0)+IF('Sprint Results'!$E$7=A20,8,0)+IF('Sprint Results'!$F$7=A20,7,0)+IF('Sprint Results'!$G$7=A20,6,0)+IF('Sprint Results'!$H$7=A20,5,0)+IF('Sprint Results'!$I$7=A20,4,0)+IF('Sprint Results'!$J$7=A20,3,0)+IF('Sprint Results'!$K$7=A20,2,0)+IF('Sprint Results'!$L$7=A20,1,0),0)</f>
        <v>0</v>
      </c>
      <c r="T20" s="159" t="n">
        <f aca="false">IFERROR(IF('Race Results'!$E$20=A20,25,0)+IF('Race Results'!$G$20=A20,18,0)+IF('Race Results'!$H$20=A20,15,0)+IF('Race Results'!$I$20=A20,12,0)+IF('Race Results'!$J$20=A20,10,0)+IF('Race Results'!$K$20=A20,8,0)+IF('Race Results'!$L$20=A20,6,0)+IF('Race Results'!$M$20=A20,4,0)+IF('Race Results'!$N$20=A20,2,0)+IF('Race Results'!$O$20=A20,1,0)+IF(AND('Race Results'!$Q$20=A20,'Race Results'!$R$20="Yes"),1,0),0)</f>
        <v>0</v>
      </c>
      <c r="U20" s="159" t="n">
        <f aca="false">IFERROR(IF('Race Results'!$E$21=A20,25,0)+IF('Race Results'!$G$21=A20,18,0)+IF('Race Results'!$H$21=A20,15,0)+IF('Race Results'!$I$21=A20,12,0)+IF('Race Results'!$J$21=A20,10,0)+IF('Race Results'!$K$21=A20,8,0)+IF('Race Results'!$L$21=A20,6,0)+IF('Race Results'!$M$21=A20,4,0)+IF('Race Results'!$N$21=A20,2,0)+IF('Race Results'!$O$21=A20,1,0)+IF(AND('Race Results'!$Q$21=A20,'Race Results'!$R$21="Yes"),1,0),0)</f>
        <v>0</v>
      </c>
      <c r="V20" s="159" t="n">
        <f aca="false">IFERROR(IF('Race Results'!$E$22=A20,25,0)+IF('Race Results'!$G$22=A20,18,0)+IF('Race Results'!$H$22=A20,15,0)+IF('Race Results'!$I$22=A20,12,0)+IF('Race Results'!$J$22=A20,10,0)+IF('Race Results'!$K$22=A20,8,0)+IF('Race Results'!$L$22=A20,6,0)+IF('Race Results'!$M$22=A20,4,0)+IF('Race Results'!$N$22=A20,2,0)+IF('Race Results'!$O$22=A20,1,0)+IF(AND('Race Results'!$Q$22=A20,'Race Results'!$R$22="Yes"),1,0),0)</f>
        <v>0</v>
      </c>
      <c r="W20" s="159" t="n">
        <f aca="false">IFERROR(IF('Race Results'!$E$23=A20,25,0)+IF('Race Results'!$G$23=A20,18,0)+IF('Race Results'!$H$23=A20,15,0)+IF('Race Results'!$I$23=A20,12,0)+IF('Race Results'!$J$23=A20,10,0)+IF('Race Results'!$K$23=A20,8,0)+IF('Race Results'!$L$23=A20,6,0)+IF('Race Results'!$M$23=A20,4,0)+IF('Race Results'!$N$23=A20,2,0)+IF('Race Results'!$O$23=A20,1,0)+IF(AND('Race Results'!$Q$23=A20,'Race Results'!$R$23="Yes"),1,0),0)</f>
        <v>0</v>
      </c>
      <c r="X20" s="159" t="n">
        <f aca="false">IFERROR(IF('Race Results'!$E$24=A20,25,0)+IF('Race Results'!$G$24=A20,18,0)+IF('Race Results'!$H$24=A20,15,0)+IF('Race Results'!$I$24=A20,12,0)+IF('Race Results'!$J$24=A20,10,0)+IF('Race Results'!$K$24=A20,8,0)+IF('Race Results'!$L$24=A20,6,0)+IF('Race Results'!$M$24=A20,4,0)+IF('Race Results'!$N$24=A20,2,0)+IF('Race Results'!$O$24=A20,1,0)+IF(AND('Race Results'!$Q$24=A20,'Race Results'!$R$24="Yes"),1,0),0)</f>
        <v>0</v>
      </c>
      <c r="Y20" s="159" t="n">
        <f aca="false">IFERROR(IF('Race Results'!$E$25=A20,25,0)+IF('Race Results'!$G$25=A20,18,0)+IF('Race Results'!$H$25=A20,15,0)+IF('Race Results'!$I$25=A20,12,0)+IF('Race Results'!$J$25=A20,10,0)+IF('Race Results'!$K$25=A20,8,0)+IF('Race Results'!$L$25=A20,6,0)+IF('Race Results'!$M$25=A20,4,0)+IF('Race Results'!$N$25=A20,2,0)+IF('Race Results'!$O$25=A20,1,0)+IF(AND('Race Results'!$Q$25=A20,'Race Results'!$R$25="Yes"),1,0),0)</f>
        <v>0</v>
      </c>
    </row>
    <row r="21" customFormat="false" ht="14.25" hidden="false" customHeight="true" outlineLevel="0" collapsed="false">
      <c r="A21" s="1" t="s">
        <v>115</v>
      </c>
      <c r="B21" s="159" t="n">
        <f aca="false">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</f>
        <v>0</v>
      </c>
      <c r="C21" s="159" t="n">
        <f aca="false">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</f>
        <v>0</v>
      </c>
      <c r="D21" s="159" t="n">
        <f aca="false">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</f>
        <v>0</v>
      </c>
      <c r="E21" s="159" t="n">
        <f aca="false">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</f>
        <v>0</v>
      </c>
      <c r="F21" s="159" t="n">
        <f aca="false">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</f>
        <v>0</v>
      </c>
      <c r="G21" s="159" t="n">
        <f aca="false">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</f>
        <v>0</v>
      </c>
      <c r="H21" s="159" t="n">
        <f aca="false">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</f>
        <v>0</v>
      </c>
      <c r="I21" s="159" t="n">
        <f aca="false">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</f>
        <v>0</v>
      </c>
      <c r="J21" s="159" t="n">
        <f aca="false">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</f>
        <v>0</v>
      </c>
      <c r="K21" s="159" t="n">
        <f aca="false">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</f>
        <v>0</v>
      </c>
      <c r="L21" s="159" t="n">
        <f aca="false">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</f>
        <v>0</v>
      </c>
      <c r="M21" s="159" t="n">
        <f aca="false">IFERROR(IF('Race Results'!$E$13=A21,25,0)+IF('Race Results'!$G$13=A21,18,0)+IF('Race Results'!$H$13=A21,15,0)+IF('Race Results'!$I$13=A21,12,0)+IF('Race Results'!$J$13=A21,10,0)+IF('Race Results'!$K$13=A21,8,0)+IF('Race Results'!$L$13=A21,6,0)+IF('Race Results'!$M$13=A21,4,0)+IF('Race Results'!$N$13=A21,2,0)+IF('Race Results'!$O$13=A21,1,0)+IF(AND('Race Results'!$Q$13=A21,'Race Results'!$R$13="Yes"),1,0)+IF('Sprint Results'!$E$5=A21,8,0)+IF('Sprint Results'!$F$5=A21,7,0)+IF('Sprint Results'!$G$5=A21,6,0)+IF('Sprint Results'!$H$5=A21,5,0)+IF('Sprint Results'!$I$5=A21,4,0)+IF('Sprint Results'!$J$5=A21,3,0)+IF('Sprint Results'!$K$5=A21,2,0)+IF('Sprint Results'!$L$5=A21,1,0),0)</f>
        <v>0</v>
      </c>
      <c r="N21" s="159" t="n">
        <f aca="false">IFERROR(IF('Race Results'!$E$14=A21,25,0)+IF('Race Results'!$G$14=A21,18,0)+IF('Race Results'!$H$14=A21,15,0)+IF('Race Results'!$I$14=A21,12,0)+IF('Race Results'!$J$14=A21,10,0)+IF('Race Results'!$K$14=A21,8,0)+IF('Race Results'!$L$14=A21,6,0)+IF('Race Results'!$M$14=A21,4,0)+IF('Race Results'!$N$14=A21,2,0)+IF('Race Results'!$O$14=A21,1,0)+IF(AND('Race Results'!$Q$14=A21,'Race Results'!$R$14="Yes"),1,0),0)</f>
        <v>0</v>
      </c>
      <c r="O21" s="159" t="n">
        <f aca="false">IFERROR(IF('Race Results'!$E$15=A21,25,0)+IF('Race Results'!$G$15=A21,18,0)+IF('Race Results'!$H$15=A21,15,0)+IF('Race Results'!$I$15=A21,12,0)+IF('Race Results'!$J$15=A21,10,0)+IF('Race Results'!$K$15=A21,8,0)+IF('Race Results'!$L$15=A21,6,0)+IF('Race Results'!$M$15=A21,4,0)+IF('Race Results'!$N$15=A21,2,0)+IF('Race Results'!$O$15=A21,1,0)+IF(AND('Race Results'!$Q$15=A21,'Race Results'!$R$15="Yes"),1,0),0)</f>
        <v>0</v>
      </c>
      <c r="P21" s="159" t="n">
        <f aca="false">IFERROR(IF('Race Results'!$E$16=A21,25,0)+IF('Race Results'!$G$16=A21,18,0)+IF('Race Results'!$H$16=A21,15,0)+IF('Race Results'!$I$16=A21,12,0)+IF('Race Results'!$J$16=A21,10,0)+IF('Race Results'!$K$16=A21,8,0)+IF('Race Results'!$L$16=A21,6,0)+IF('Race Results'!$M$16=A21,4,0)+IF('Race Results'!$N$16=A21,2,0)+IF('Race Results'!$O$16=A21,1,0)+IF(AND('Race Results'!$Q$16=A21,'Race Results'!$R$16="Yes"),1,0)+IF('Sprint Results'!$E$6=A21,8,0)+IF('Sprint Results'!$F$6=A21,7,0)+IF('Sprint Results'!$G$6=A21,6,0)+IF('Sprint Results'!$H$6=A21,5,0)+IF('Sprint Results'!$I$6=A21,4,0)+IF('Sprint Results'!$J$6=A21,3,0)+IF('Sprint Results'!$K$6=A21,2,0)+IF('Sprint Results'!$L$6=A21,1,0),0)</f>
        <v>0</v>
      </c>
      <c r="Q21" s="159" t="n">
        <f aca="false">IFERROR(IF('Race Results'!$E$17=A21,25,0)+IF('Race Results'!$G$17=A21,18,0)+IF('Race Results'!$H$17=A21,15,0)+IF('Race Results'!$I$17=A21,12,0)+IF('Race Results'!$J$17=A21,10,0)+IF('Race Results'!$K$17=A21,8,0)+IF('Race Results'!$L$17=A21,6,0)+IF('Race Results'!$M$17=A21,4,0)+IF('Race Results'!$N$17=A21,2,0)+IF('Race Results'!$O$17=A21,1,0)+IF(AND('Race Results'!$Q$17=A21,'Race Results'!$R$17="Yes"),1,0),0)</f>
        <v>0</v>
      </c>
      <c r="R21" s="159" t="n">
        <f aca="false">IFERROR(IF('Race Results'!$E$18=A21,25,0)+IF('Race Results'!$G$18=A21,18,0)+IF('Race Results'!$H$18=A21,15,0)+IF('Race Results'!$I$18=A21,12,0)+IF('Race Results'!$J$18=A21,10,0)+IF('Race Results'!$K$18=A21,8,0)+IF('Race Results'!$L$18=A21,6,0)+IF('Race Results'!$M$18=A21,4,0)+IF('Race Results'!$N$18=A21,2,0)+IF('Race Results'!$O$18=A21,1,0)+IF(AND('Race Results'!$Q$18=A21,'Race Results'!$R$18="Yes"),1,0),0)</f>
        <v>0</v>
      </c>
      <c r="S21" s="159" t="n">
        <f aca="false">IFERROR(IF('Race Results'!$E$19=A21,25,0)+IF('Race Results'!$G$19=A21,18,0)+IF('Race Results'!$H$19=A21,15,0)+IF('Race Results'!$I$19=A21,12,0)+IF('Race Results'!$J$19=A21,10,0)+IF('Race Results'!$K$19=A21,8,0)+IF('Race Results'!$L$19=A21,6,0)+IF('Race Results'!$M$19=A21,4,0)+IF('Race Results'!$N$19=A21,2,0)+IF('Race Results'!$O$19=A21,1,0)+IF(AND('Race Results'!$Q$19=A21,'Race Results'!$R$19="Yes"),1,0)+IF('Sprint Results'!$E$7=A21,8,0)+IF('Sprint Results'!$F$7=A21,7,0)+IF('Sprint Results'!$G$7=A21,6,0)+IF('Sprint Results'!$H$7=A21,5,0)+IF('Sprint Results'!$I$7=A21,4,0)+IF('Sprint Results'!$J$7=A21,3,0)+IF('Sprint Results'!$K$7=A21,2,0)+IF('Sprint Results'!$L$7=A21,1,0),0)</f>
        <v>0</v>
      </c>
      <c r="T21" s="159" t="n">
        <f aca="false">IFERROR(IF('Race Results'!$E$20=A21,25,0)+IF('Race Results'!$G$20=A21,18,0)+IF('Race Results'!$H$20=A21,15,0)+IF('Race Results'!$I$20=A21,12,0)+IF('Race Results'!$J$20=A21,10,0)+IF('Race Results'!$K$20=A21,8,0)+IF('Race Results'!$L$20=A21,6,0)+IF('Race Results'!$M$20=A21,4,0)+IF('Race Results'!$N$20=A21,2,0)+IF('Race Results'!$O$20=A21,1,0)+IF(AND('Race Results'!$Q$20=A21,'Race Results'!$R$20="Yes"),1,0),0)</f>
        <v>0</v>
      </c>
      <c r="U21" s="159" t="n">
        <f aca="false">IFERROR(IF('Race Results'!$E$21=A21,25,0)+IF('Race Results'!$G$21=A21,18,0)+IF('Race Results'!$H$21=A21,15,0)+IF('Race Results'!$I$21=A21,12,0)+IF('Race Results'!$J$21=A21,10,0)+IF('Race Results'!$K$21=A21,8,0)+IF('Race Results'!$L$21=A21,6,0)+IF('Race Results'!$M$21=A21,4,0)+IF('Race Results'!$N$21=A21,2,0)+IF('Race Results'!$O$21=A21,1,0)+IF(AND('Race Results'!$Q$21=A21,'Race Results'!$R$21="Yes"),1,0),0)</f>
        <v>0</v>
      </c>
      <c r="V21" s="159" t="n">
        <f aca="false">IFERROR(IF('Race Results'!$E$22=A21,25,0)+IF('Race Results'!$G$22=A21,18,0)+IF('Race Results'!$H$22=A21,15,0)+IF('Race Results'!$I$22=A21,12,0)+IF('Race Results'!$J$22=A21,10,0)+IF('Race Results'!$K$22=A21,8,0)+IF('Race Results'!$L$22=A21,6,0)+IF('Race Results'!$M$22=A21,4,0)+IF('Race Results'!$N$22=A21,2,0)+IF('Race Results'!$O$22=A21,1,0)+IF(AND('Race Results'!$Q$22=A21,'Race Results'!$R$22="Yes"),1,0),0)</f>
        <v>0</v>
      </c>
      <c r="W21" s="159" t="n">
        <f aca="false">IFERROR(IF('Race Results'!$E$23=A21,25,0)+IF('Race Results'!$G$23=A21,18,0)+IF('Race Results'!$H$23=A21,15,0)+IF('Race Results'!$I$23=A21,12,0)+IF('Race Results'!$J$23=A21,10,0)+IF('Race Results'!$K$23=A21,8,0)+IF('Race Results'!$L$23=A21,6,0)+IF('Race Results'!$M$23=A21,4,0)+IF('Race Results'!$N$23=A21,2,0)+IF('Race Results'!$O$23=A21,1,0)+IF(AND('Race Results'!$Q$23=A21,'Race Results'!$R$23="Yes"),1,0),0)</f>
        <v>0</v>
      </c>
      <c r="X21" s="159" t="n">
        <f aca="false">IFERROR(IF('Race Results'!$E$24=A21,25,0)+IF('Race Results'!$G$24=A21,18,0)+IF('Race Results'!$H$24=A21,15,0)+IF('Race Results'!$I$24=A21,12,0)+IF('Race Results'!$J$24=A21,10,0)+IF('Race Results'!$K$24=A21,8,0)+IF('Race Results'!$L$24=A21,6,0)+IF('Race Results'!$M$24=A21,4,0)+IF('Race Results'!$N$24=A21,2,0)+IF('Race Results'!$O$24=A21,1,0)+IF(AND('Race Results'!$Q$24=A21,'Race Results'!$R$24="Yes"),1,0),0)</f>
        <v>0</v>
      </c>
      <c r="Y21" s="159" t="n">
        <f aca="false">IFERROR(IF('Race Results'!$E$25=A21,25,0)+IF('Race Results'!$G$25=A21,18,0)+IF('Race Results'!$H$25=A21,15,0)+IF('Race Results'!$I$25=A21,12,0)+IF('Race Results'!$J$25=A21,10,0)+IF('Race Results'!$K$25=A21,8,0)+IF('Race Results'!$L$25=A21,6,0)+IF('Race Results'!$M$25=A21,4,0)+IF('Race Results'!$N$25=A21,2,0)+IF('Race Results'!$O$25=A21,1,0)+IF(AND('Race Results'!$Q$25=A21,'Race Results'!$R$25="Yes"),1,0),0)</f>
        <v>0</v>
      </c>
    </row>
    <row r="22" customFormat="false" ht="14.25" hidden="false" customHeight="true" outlineLevel="0" collapsed="false">
      <c r="A22" s="1" t="s">
        <v>116</v>
      </c>
      <c r="B22" s="159" t="n">
        <f aca="false">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</f>
        <v>0</v>
      </c>
      <c r="C22" s="159" t="n">
        <f aca="false">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</f>
        <v>0</v>
      </c>
      <c r="D22" s="159" t="n">
        <f aca="false">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</f>
        <v>0</v>
      </c>
      <c r="E22" s="159" t="n">
        <f aca="false">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</f>
        <v>0</v>
      </c>
      <c r="F22" s="159" t="n">
        <f aca="false">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</f>
        <v>0</v>
      </c>
      <c r="G22" s="159" t="n">
        <f aca="false">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</f>
        <v>0</v>
      </c>
      <c r="H22" s="159" t="n">
        <f aca="false">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</f>
        <v>0</v>
      </c>
      <c r="I22" s="159" t="n">
        <f aca="false">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</f>
        <v>0</v>
      </c>
      <c r="J22" s="159" t="n">
        <f aca="false">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</f>
        <v>0</v>
      </c>
      <c r="K22" s="159" t="n">
        <f aca="false">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</f>
        <v>0</v>
      </c>
      <c r="L22" s="159" t="n">
        <f aca="false">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</f>
        <v>0</v>
      </c>
      <c r="M22" s="159" t="n">
        <f aca="false">IFERROR(IF('Race Results'!$E$13=A22,25,0)+IF('Race Results'!$G$13=A22,18,0)+IF('Race Results'!$H$13=A22,15,0)+IF('Race Results'!$I$13=A22,12,0)+IF('Race Results'!$J$13=A22,10,0)+IF('Race Results'!$K$13=A22,8,0)+IF('Race Results'!$L$13=A22,6,0)+IF('Race Results'!$M$13=A22,4,0)+IF('Race Results'!$N$13=A22,2,0)+IF('Race Results'!$O$13=A22,1,0)+IF(AND('Race Results'!$Q$13=A22,'Race Results'!$R$13="Yes"),1,0)+IF('Sprint Results'!$E$5=A22,8,0)+IF('Sprint Results'!$F$5=A22,7,0)+IF('Sprint Results'!$G$5=A22,6,0)+IF('Sprint Results'!$H$5=A22,5,0)+IF('Sprint Results'!$I$5=A22,4,0)+IF('Sprint Results'!$J$5=A22,3,0)+IF('Sprint Results'!$K$5=A22,2,0)+IF('Sprint Results'!$L$5=A22,1,0),0)</f>
        <v>0</v>
      </c>
      <c r="N22" s="159" t="n">
        <f aca="false">IFERROR(IF('Race Results'!$E$14=A22,25,0)+IF('Race Results'!$G$14=A22,18,0)+IF('Race Results'!$H$14=A22,15,0)+IF('Race Results'!$I$14=A22,12,0)+IF('Race Results'!$J$14=A22,10,0)+IF('Race Results'!$K$14=A22,8,0)+IF('Race Results'!$L$14=A22,6,0)+IF('Race Results'!$M$14=A22,4,0)+IF('Race Results'!$N$14=A22,2,0)+IF('Race Results'!$O$14=A22,1,0)+IF(AND('Race Results'!$Q$14=A22,'Race Results'!$R$14="Yes"),1,0),0)</f>
        <v>0</v>
      </c>
      <c r="O22" s="159" t="n">
        <f aca="false">IFERROR(IF('Race Results'!$E$15=A22,25,0)+IF('Race Results'!$G$15=A22,18,0)+IF('Race Results'!$H$15=A22,15,0)+IF('Race Results'!$I$15=A22,12,0)+IF('Race Results'!$J$15=A22,10,0)+IF('Race Results'!$K$15=A22,8,0)+IF('Race Results'!$L$15=A22,6,0)+IF('Race Results'!$M$15=A22,4,0)+IF('Race Results'!$N$15=A22,2,0)+IF('Race Results'!$O$15=A22,1,0)+IF(AND('Race Results'!$Q$15=A22,'Race Results'!$R$15="Yes"),1,0),0)</f>
        <v>0</v>
      </c>
      <c r="P22" s="159" t="n">
        <f aca="false">IFERROR(IF('Race Results'!$E$16=A22,25,0)+IF('Race Results'!$G$16=A22,18,0)+IF('Race Results'!$H$16=A22,15,0)+IF('Race Results'!$I$16=A22,12,0)+IF('Race Results'!$J$16=A22,10,0)+IF('Race Results'!$K$16=A22,8,0)+IF('Race Results'!$L$16=A22,6,0)+IF('Race Results'!$M$16=A22,4,0)+IF('Race Results'!$N$16=A22,2,0)+IF('Race Results'!$O$16=A22,1,0)+IF(AND('Race Results'!$Q$16=A22,'Race Results'!$R$16="Yes"),1,0)+IF('Sprint Results'!$E$6=A22,8,0)+IF('Sprint Results'!$F$6=A22,7,0)+IF('Sprint Results'!$G$6=A22,6,0)+IF('Sprint Results'!$H$6=A22,5,0)+IF('Sprint Results'!$I$6=A22,4,0)+IF('Sprint Results'!$J$6=A22,3,0)+IF('Sprint Results'!$K$6=A22,2,0)+IF('Sprint Results'!$L$6=A22,1,0),0)</f>
        <v>0</v>
      </c>
      <c r="Q22" s="159" t="n">
        <f aca="false">IFERROR(IF('Race Results'!$E$17=A22,25,0)+IF('Race Results'!$G$17=A22,18,0)+IF('Race Results'!$H$17=A22,15,0)+IF('Race Results'!$I$17=A22,12,0)+IF('Race Results'!$J$17=A22,10,0)+IF('Race Results'!$K$17=A22,8,0)+IF('Race Results'!$L$17=A22,6,0)+IF('Race Results'!$M$17=A22,4,0)+IF('Race Results'!$N$17=A22,2,0)+IF('Race Results'!$O$17=A22,1,0)+IF(AND('Race Results'!$Q$17=A22,'Race Results'!$R$17="Yes"),1,0),0)</f>
        <v>0</v>
      </c>
      <c r="R22" s="159" t="n">
        <f aca="false">IFERROR(IF('Race Results'!$E$18=A22,25,0)+IF('Race Results'!$G$18=A22,18,0)+IF('Race Results'!$H$18=A22,15,0)+IF('Race Results'!$I$18=A22,12,0)+IF('Race Results'!$J$18=A22,10,0)+IF('Race Results'!$K$18=A22,8,0)+IF('Race Results'!$L$18=A22,6,0)+IF('Race Results'!$M$18=A22,4,0)+IF('Race Results'!$N$18=A22,2,0)+IF('Race Results'!$O$18=A22,1,0)+IF(AND('Race Results'!$Q$18=A22,'Race Results'!$R$18="Yes"),1,0),0)</f>
        <v>0</v>
      </c>
      <c r="S22" s="159" t="n">
        <f aca="false">IFERROR(IF('Race Results'!$E$19=A22,25,0)+IF('Race Results'!$G$19=A22,18,0)+IF('Race Results'!$H$19=A22,15,0)+IF('Race Results'!$I$19=A22,12,0)+IF('Race Results'!$J$19=A22,10,0)+IF('Race Results'!$K$19=A22,8,0)+IF('Race Results'!$L$19=A22,6,0)+IF('Race Results'!$M$19=A22,4,0)+IF('Race Results'!$N$19=A22,2,0)+IF('Race Results'!$O$19=A22,1,0)+IF(AND('Race Results'!$Q$19=A22,'Race Results'!$R$19="Yes"),1,0)+IF('Sprint Results'!$E$7=A22,8,0)+IF('Sprint Results'!$F$7=A22,7,0)+IF('Sprint Results'!$G$7=A22,6,0)+IF('Sprint Results'!$H$7=A22,5,0)+IF('Sprint Results'!$I$7=A22,4,0)+IF('Sprint Results'!$J$7=A22,3,0)+IF('Sprint Results'!$K$7=A22,2,0)+IF('Sprint Results'!$L$7=A22,1,0),0)</f>
        <v>0</v>
      </c>
      <c r="T22" s="159" t="n">
        <f aca="false">IFERROR(IF('Race Results'!$E$20=A22,25,0)+IF('Race Results'!$G$20=A22,18,0)+IF('Race Results'!$H$20=A22,15,0)+IF('Race Results'!$I$20=A22,12,0)+IF('Race Results'!$J$20=A22,10,0)+IF('Race Results'!$K$20=A22,8,0)+IF('Race Results'!$L$20=A22,6,0)+IF('Race Results'!$M$20=A22,4,0)+IF('Race Results'!$N$20=A22,2,0)+IF('Race Results'!$O$20=A22,1,0)+IF(AND('Race Results'!$Q$20=A22,'Race Results'!$R$20="Yes"),1,0),0)</f>
        <v>0</v>
      </c>
      <c r="U22" s="159" t="n">
        <f aca="false">IFERROR(IF('Race Results'!$E$21=A22,25,0)+IF('Race Results'!$G$21=A22,18,0)+IF('Race Results'!$H$21=A22,15,0)+IF('Race Results'!$I$21=A22,12,0)+IF('Race Results'!$J$21=A22,10,0)+IF('Race Results'!$K$21=A22,8,0)+IF('Race Results'!$L$21=A22,6,0)+IF('Race Results'!$M$21=A22,4,0)+IF('Race Results'!$N$21=A22,2,0)+IF('Race Results'!$O$21=A22,1,0)+IF(AND('Race Results'!$Q$21=A22,'Race Results'!$R$21="Yes"),1,0),0)</f>
        <v>0</v>
      </c>
      <c r="V22" s="159" t="n">
        <f aca="false">IFERROR(IF('Race Results'!$E$22=A22,25,0)+IF('Race Results'!$G$22=A22,18,0)+IF('Race Results'!$H$22=A22,15,0)+IF('Race Results'!$I$22=A22,12,0)+IF('Race Results'!$J$22=A22,10,0)+IF('Race Results'!$K$22=A22,8,0)+IF('Race Results'!$L$22=A22,6,0)+IF('Race Results'!$M$22=A22,4,0)+IF('Race Results'!$N$22=A22,2,0)+IF('Race Results'!$O$22=A22,1,0)+IF(AND('Race Results'!$Q$22=A22,'Race Results'!$R$22="Yes"),1,0),0)</f>
        <v>0</v>
      </c>
      <c r="W22" s="159" t="n">
        <f aca="false">IFERROR(IF('Race Results'!$E$23=A22,25,0)+IF('Race Results'!$G$23=A22,18,0)+IF('Race Results'!$H$23=A22,15,0)+IF('Race Results'!$I$23=A22,12,0)+IF('Race Results'!$J$23=A22,10,0)+IF('Race Results'!$K$23=A22,8,0)+IF('Race Results'!$L$23=A22,6,0)+IF('Race Results'!$M$23=A22,4,0)+IF('Race Results'!$N$23=A22,2,0)+IF('Race Results'!$O$23=A22,1,0)+IF(AND('Race Results'!$Q$23=A22,'Race Results'!$R$23="Yes"),1,0),0)</f>
        <v>0</v>
      </c>
      <c r="X22" s="159" t="n">
        <f aca="false">IFERROR(IF('Race Results'!$E$24=A22,25,0)+IF('Race Results'!$G$24=A22,18,0)+IF('Race Results'!$H$24=A22,15,0)+IF('Race Results'!$I$24=A22,12,0)+IF('Race Results'!$J$24=A22,10,0)+IF('Race Results'!$K$24=A22,8,0)+IF('Race Results'!$L$24=A22,6,0)+IF('Race Results'!$M$24=A22,4,0)+IF('Race Results'!$N$24=A22,2,0)+IF('Race Results'!$O$24=A22,1,0)+IF(AND('Race Results'!$Q$24=A22,'Race Results'!$R$24="Yes"),1,0),0)</f>
        <v>0</v>
      </c>
      <c r="Y22" s="159" t="n">
        <f aca="false">IFERROR(IF('Race Results'!$E$25=A22,25,0)+IF('Race Results'!$G$25=A22,18,0)+IF('Race Results'!$H$25=A22,15,0)+IF('Race Results'!$I$25=A22,12,0)+IF('Race Results'!$J$25=A22,10,0)+IF('Race Results'!$K$25=A22,8,0)+IF('Race Results'!$L$25=A22,6,0)+IF('Race Results'!$M$25=A22,4,0)+IF('Race Results'!$N$25=A22,2,0)+IF('Race Results'!$O$25=A22,1,0)+IF(AND('Race Results'!$Q$25=A22,'Race Results'!$R$25="Yes"),1,0),0)</f>
        <v>0</v>
      </c>
    </row>
    <row r="23" customFormat="false" ht="14.25" hidden="false" customHeight="true" outlineLevel="0" collapsed="false">
      <c r="A23" s="1" t="s">
        <v>118</v>
      </c>
      <c r="B23" s="159" t="n">
        <f aca="false">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</f>
        <v>0</v>
      </c>
      <c r="C23" s="159" t="n">
        <f aca="false">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</f>
        <v>0</v>
      </c>
      <c r="D23" s="159" t="n">
        <f aca="false">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</f>
        <v>0</v>
      </c>
      <c r="E23" s="159" t="n">
        <f aca="false">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</f>
        <v>0</v>
      </c>
      <c r="F23" s="159" t="n">
        <f aca="false">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</f>
        <v>0</v>
      </c>
      <c r="G23" s="159" t="n">
        <f aca="false">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</f>
        <v>0</v>
      </c>
      <c r="H23" s="159" t="n">
        <f aca="false">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</f>
        <v>0</v>
      </c>
      <c r="I23" s="159" t="n">
        <f aca="false">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</f>
        <v>0</v>
      </c>
      <c r="J23" s="159" t="n">
        <f aca="false">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</f>
        <v>0</v>
      </c>
      <c r="K23" s="159" t="n">
        <f aca="false">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</f>
        <v>0</v>
      </c>
      <c r="L23" s="159" t="n">
        <f aca="false">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</f>
        <v>0</v>
      </c>
      <c r="M23" s="159" t="n">
        <f aca="false">IFERROR(IF('Race Results'!$E$13=A23,25,0)+IF('Race Results'!$G$13=A23,18,0)+IF('Race Results'!$H$13=A23,15,0)+IF('Race Results'!$I$13=A23,12,0)+IF('Race Results'!$J$13=A23,10,0)+IF('Race Results'!$K$13=A23,8,0)+IF('Race Results'!$L$13=A23,6,0)+IF('Race Results'!$M$13=A23,4,0)+IF('Race Results'!$N$13=A23,2,0)+IF('Race Results'!$O$13=A23,1,0)+IF(AND('Race Results'!$Q$13=A23,'Race Results'!$R$13="Yes"),1,0)+IF('Sprint Results'!$E$5=A23,8,0)+IF('Sprint Results'!$F$5=A23,7,0)+IF('Sprint Results'!$G$5=A23,6,0)+IF('Sprint Results'!$H$5=A23,5,0)+IF('Sprint Results'!$I$5=A23,4,0)+IF('Sprint Results'!$J$5=A23,3,0)+IF('Sprint Results'!$K$5=A23,2,0)+IF('Sprint Results'!$L$5=A23,1,0),0)</f>
        <v>0</v>
      </c>
      <c r="N23" s="159" t="n">
        <f aca="false">IFERROR(IF('Race Results'!$E$14=A23,25,0)+IF('Race Results'!$G$14=A23,18,0)+IF('Race Results'!$H$14=A23,15,0)+IF('Race Results'!$I$14=A23,12,0)+IF('Race Results'!$J$14=A23,10,0)+IF('Race Results'!$K$14=A23,8,0)+IF('Race Results'!$L$14=A23,6,0)+IF('Race Results'!$M$14=A23,4,0)+IF('Race Results'!$N$14=A23,2,0)+IF('Race Results'!$O$14=A23,1,0)+IF(AND('Race Results'!$Q$14=A23,'Race Results'!$R$14="Yes"),1,0),0)</f>
        <v>0</v>
      </c>
      <c r="O23" s="159" t="n">
        <f aca="false">IFERROR(IF('Race Results'!$E$15=A23,25,0)+IF('Race Results'!$G$15=A23,18,0)+IF('Race Results'!$H$15=A23,15,0)+IF('Race Results'!$I$15=A23,12,0)+IF('Race Results'!$J$15=A23,10,0)+IF('Race Results'!$K$15=A23,8,0)+IF('Race Results'!$L$15=A23,6,0)+IF('Race Results'!$M$15=A23,4,0)+IF('Race Results'!$N$15=A23,2,0)+IF('Race Results'!$O$15=A23,1,0)+IF(AND('Race Results'!$Q$15=A23,'Race Results'!$R$15="Yes"),1,0),0)</f>
        <v>0</v>
      </c>
      <c r="P23" s="159" t="n">
        <f aca="false">IFERROR(IF('Race Results'!$E$16=A23,25,0)+IF('Race Results'!$G$16=A23,18,0)+IF('Race Results'!$H$16=A23,15,0)+IF('Race Results'!$I$16=A23,12,0)+IF('Race Results'!$J$16=A23,10,0)+IF('Race Results'!$K$16=A23,8,0)+IF('Race Results'!$L$16=A23,6,0)+IF('Race Results'!$M$16=A23,4,0)+IF('Race Results'!$N$16=A23,2,0)+IF('Race Results'!$O$16=A23,1,0)+IF(AND('Race Results'!$Q$16=A23,'Race Results'!$R$16="Yes"),1,0)+IF('Sprint Results'!$E$6=A23,8,0)+IF('Sprint Results'!$F$6=A23,7,0)+IF('Sprint Results'!$G$6=A23,6,0)+IF('Sprint Results'!$H$6=A23,5,0)+IF('Sprint Results'!$I$6=A23,4,0)+IF('Sprint Results'!$J$6=A23,3,0)+IF('Sprint Results'!$K$6=A23,2,0)+IF('Sprint Results'!$L$6=A23,1,0),0)</f>
        <v>0</v>
      </c>
      <c r="Q23" s="159" t="n">
        <f aca="false">IFERROR(IF('Race Results'!$E$17=A23,25,0)+IF('Race Results'!$G$17=A23,18,0)+IF('Race Results'!$H$17=A23,15,0)+IF('Race Results'!$I$17=A23,12,0)+IF('Race Results'!$J$17=A23,10,0)+IF('Race Results'!$K$17=A23,8,0)+IF('Race Results'!$L$17=A23,6,0)+IF('Race Results'!$M$17=A23,4,0)+IF('Race Results'!$N$17=A23,2,0)+IF('Race Results'!$O$17=A23,1,0)+IF(AND('Race Results'!$Q$17=A23,'Race Results'!$R$17="Yes"),1,0),0)</f>
        <v>0</v>
      </c>
      <c r="R23" s="159" t="n">
        <f aca="false">IFERROR(IF('Race Results'!$E$18=A23,25,0)+IF('Race Results'!$G$18=A23,18,0)+IF('Race Results'!$H$18=A23,15,0)+IF('Race Results'!$I$18=A23,12,0)+IF('Race Results'!$J$18=A23,10,0)+IF('Race Results'!$K$18=A23,8,0)+IF('Race Results'!$L$18=A23,6,0)+IF('Race Results'!$M$18=A23,4,0)+IF('Race Results'!$N$18=A23,2,0)+IF('Race Results'!$O$18=A23,1,0)+IF(AND('Race Results'!$Q$18=A23,'Race Results'!$R$18="Yes"),1,0),0)</f>
        <v>0</v>
      </c>
      <c r="S23" s="159" t="n">
        <f aca="false">IFERROR(IF('Race Results'!$E$19=A23,25,0)+IF('Race Results'!$G$19=A23,18,0)+IF('Race Results'!$H$19=A23,15,0)+IF('Race Results'!$I$19=A23,12,0)+IF('Race Results'!$J$19=A23,10,0)+IF('Race Results'!$K$19=A23,8,0)+IF('Race Results'!$L$19=A23,6,0)+IF('Race Results'!$M$19=A23,4,0)+IF('Race Results'!$N$19=A23,2,0)+IF('Race Results'!$O$19=A23,1,0)+IF(AND('Race Results'!$Q$19=A23,'Race Results'!$R$19="Yes"),1,0)+IF('Sprint Results'!$E$7=A23,8,0)+IF('Sprint Results'!$F$7=A23,7,0)+IF('Sprint Results'!$G$7=A23,6,0)+IF('Sprint Results'!$H$7=A23,5,0)+IF('Sprint Results'!$I$7=A23,4,0)+IF('Sprint Results'!$J$7=A23,3,0)+IF('Sprint Results'!$K$7=A23,2,0)+IF('Sprint Results'!$L$7=A23,1,0),0)</f>
        <v>0</v>
      </c>
      <c r="T23" s="159" t="n">
        <f aca="false">IFERROR(IF('Race Results'!$E$20=A23,25,0)+IF('Race Results'!$G$20=A23,18,0)+IF('Race Results'!$H$20=A23,15,0)+IF('Race Results'!$I$20=A23,12,0)+IF('Race Results'!$J$20=A23,10,0)+IF('Race Results'!$K$20=A23,8,0)+IF('Race Results'!$L$20=A23,6,0)+IF('Race Results'!$M$20=A23,4,0)+IF('Race Results'!$N$20=A23,2,0)+IF('Race Results'!$O$20=A23,1,0)+IF(AND('Race Results'!$Q$20=A23,'Race Results'!$R$20="Yes"),1,0),0)</f>
        <v>0</v>
      </c>
      <c r="U23" s="159" t="n">
        <f aca="false">IFERROR(IF('Race Results'!$E$21=A23,25,0)+IF('Race Results'!$G$21=A23,18,0)+IF('Race Results'!$H$21=A23,15,0)+IF('Race Results'!$I$21=A23,12,0)+IF('Race Results'!$J$21=A23,10,0)+IF('Race Results'!$K$21=A23,8,0)+IF('Race Results'!$L$21=A23,6,0)+IF('Race Results'!$M$21=A23,4,0)+IF('Race Results'!$N$21=A23,2,0)+IF('Race Results'!$O$21=A23,1,0)+IF(AND('Race Results'!$Q$21=A23,'Race Results'!$R$21="Yes"),1,0),0)</f>
        <v>0</v>
      </c>
      <c r="V23" s="159" t="n">
        <f aca="false">IFERROR(IF('Race Results'!$E$22=A23,25,0)+IF('Race Results'!$G$22=A23,18,0)+IF('Race Results'!$H$22=A23,15,0)+IF('Race Results'!$I$22=A23,12,0)+IF('Race Results'!$J$22=A23,10,0)+IF('Race Results'!$K$22=A23,8,0)+IF('Race Results'!$L$22=A23,6,0)+IF('Race Results'!$M$22=A23,4,0)+IF('Race Results'!$N$22=A23,2,0)+IF('Race Results'!$O$22=A23,1,0)+IF(AND('Race Results'!$Q$22=A23,'Race Results'!$R$22="Yes"),1,0),0)</f>
        <v>0</v>
      </c>
      <c r="W23" s="159" t="n">
        <f aca="false">IFERROR(IF('Race Results'!$E$23=A23,25,0)+IF('Race Results'!$G$23=A23,18,0)+IF('Race Results'!$H$23=A23,15,0)+IF('Race Results'!$I$23=A23,12,0)+IF('Race Results'!$J$23=A23,10,0)+IF('Race Results'!$K$23=A23,8,0)+IF('Race Results'!$L$23=A23,6,0)+IF('Race Results'!$M$23=A23,4,0)+IF('Race Results'!$N$23=A23,2,0)+IF('Race Results'!$O$23=A23,1,0)+IF(AND('Race Results'!$Q$23=A23,'Race Results'!$R$23="Yes"),1,0),0)</f>
        <v>0</v>
      </c>
      <c r="X23" s="159" t="n">
        <f aca="false">IFERROR(IF('Race Results'!$E$24=A23,25,0)+IF('Race Results'!$G$24=A23,18,0)+IF('Race Results'!$H$24=A23,15,0)+IF('Race Results'!$I$24=A23,12,0)+IF('Race Results'!$J$24=A23,10,0)+IF('Race Results'!$K$24=A23,8,0)+IF('Race Results'!$L$24=A23,6,0)+IF('Race Results'!$M$24=A23,4,0)+IF('Race Results'!$N$24=A23,2,0)+IF('Race Results'!$O$24=A23,1,0)+IF(AND('Race Results'!$Q$24=A23,'Race Results'!$R$24="Yes"),1,0),0)</f>
        <v>0</v>
      </c>
      <c r="Y23" s="159" t="n">
        <f aca="false">IFERROR(IF('Race Results'!$E$25=A23,25,0)+IF('Race Results'!$G$25=A23,18,0)+IF('Race Results'!$H$25=A23,15,0)+IF('Race Results'!$I$25=A23,12,0)+IF('Race Results'!$J$25=A23,10,0)+IF('Race Results'!$K$25=A23,8,0)+IF('Race Results'!$L$25=A23,6,0)+IF('Race Results'!$M$25=A23,4,0)+IF('Race Results'!$N$25=A23,2,0)+IF('Race Results'!$O$25=A23,1,0)+IF(AND('Race Results'!$Q$25=A23,'Race Results'!$R$25="Yes"),1,0),0)</f>
        <v>0</v>
      </c>
    </row>
    <row r="24" customFormat="false" ht="14.25" hidden="false" customHeight="true" outlineLevel="0" collapsed="false">
      <c r="A24" s="1" t="s">
        <v>530</v>
      </c>
      <c r="B24" s="1" t="s">
        <v>506</v>
      </c>
      <c r="C24" s="1" t="s">
        <v>507</v>
      </c>
      <c r="D24" s="1" t="s">
        <v>508</v>
      </c>
      <c r="E24" s="1" t="s">
        <v>509</v>
      </c>
      <c r="F24" s="1" t="s">
        <v>510</v>
      </c>
      <c r="G24" s="1" t="s">
        <v>511</v>
      </c>
      <c r="H24" s="1" t="s">
        <v>512</v>
      </c>
      <c r="I24" s="1" t="s">
        <v>513</v>
      </c>
      <c r="J24" s="1" t="s">
        <v>514</v>
      </c>
      <c r="K24" s="1" t="s">
        <v>515</v>
      </c>
      <c r="L24" s="1" t="s">
        <v>516</v>
      </c>
      <c r="M24" s="1" t="s">
        <v>517</v>
      </c>
      <c r="N24" s="1" t="s">
        <v>518</v>
      </c>
      <c r="O24" s="1" t="s">
        <v>519</v>
      </c>
      <c r="P24" s="1" t="s">
        <v>520</v>
      </c>
      <c r="Q24" s="1" t="s">
        <v>521</v>
      </c>
      <c r="R24" s="1" t="s">
        <v>522</v>
      </c>
      <c r="S24" s="1" t="s">
        <v>523</v>
      </c>
      <c r="T24" s="1" t="s">
        <v>524</v>
      </c>
      <c r="U24" s="1" t="s">
        <v>525</v>
      </c>
      <c r="V24" s="1" t="s">
        <v>526</v>
      </c>
      <c r="W24" s="1" t="s">
        <v>527</v>
      </c>
      <c r="X24" s="1" t="s">
        <v>528</v>
      </c>
      <c r="Y24" s="1" t="s">
        <v>529</v>
      </c>
    </row>
    <row r="25" customFormat="false" ht="14.25" hidden="false" customHeight="true" outlineLevel="0" collapsed="false">
      <c r="A25" s="1" t="s">
        <v>48</v>
      </c>
      <c r="B25" s="1" t="n">
        <f aca="false">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</f>
        <v>25</v>
      </c>
      <c r="C25" s="1" t="n">
        <f aca="false">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</f>
        <v>51</v>
      </c>
      <c r="D25" s="1" t="n">
        <f aca="false">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</f>
        <v>63</v>
      </c>
      <c r="E25" s="1" t="n">
        <f aca="false">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</f>
        <v>63</v>
      </c>
      <c r="F25" s="1" t="n">
        <f aca="false">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</f>
        <v>63</v>
      </c>
      <c r="G25" s="1" t="n">
        <f aca="false">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</f>
        <v>63</v>
      </c>
      <c r="H25" s="1" t="n">
        <f aca="false">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</f>
        <v>63</v>
      </c>
      <c r="I25" s="1" t="n">
        <f aca="false">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</f>
        <v>63</v>
      </c>
      <c r="J25" s="1" t="n">
        <f aca="false">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</f>
        <v>63</v>
      </c>
      <c r="K25" s="1" t="n">
        <f aca="false">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</f>
        <v>63</v>
      </c>
      <c r="L25" s="1" t="n">
        <f aca="false">IFERROR(IFERROR(IFERROR(IFERROR(IFERROR(IFERROR(IFERROR(IFERROR(IFERROR(IFERROR(IFERROR(IFERROR(IF('Race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Results'!$R$11="Yes"),1,0),0),0)+IFERROR(IF('Race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Results'!$R$12="Yes"),1,0),0),0)</f>
        <v>63</v>
      </c>
      <c r="M25" s="1" t="n">
        <f aca="false">IFERROR(IFERROR(IFERROR(IFERROR(IFERROR(IFERROR(IFERROR(IFERROR(IFERROR(IFERROR(IFERROR(IFERROR(IFERROR(IF('Race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Results'!$R$11="Yes"),1,0),0),0)+IFERROR(IF('Race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Results'!$R$12="Yes"),1,0),0),0)+IFERROR(IF('Race Results'!$E$13=A2,25,0)+IF('Race Results'!$G$13=A2,18,0)+IF('Race Results'!$H$13=A2,15,0)+IF('Race Results'!$I$13=A2,12,0)+IF('Race Results'!$J$13=A2,10,0)+IF('Race Results'!$K$13=A2,8,0)+IF('Race Results'!$L$13=A2,6,0)+IF('Race Results'!$M$13=A2,4,0)+IF('Race Results'!$N$13=A2,2,0)+IF('Race Results'!$O$13=A2,1,0)+IF(AND('Race Results'!$Q$13=A2,'Race Results'!$R$13="Yes"),1,0)+IF('Sprint Results'!$E$5=A2,8,0)+IF('Sprint Results'!$F$5=A2,7,0)+IF('Sprint Results'!$G$5=A2,6,0)+IF('Sprint Results'!$H$5=A2,5,0)+IF('Sprint Results'!$I$5=A2,4,0)+IF('Sprint Results'!$J$5=A2,3,0)+IF('Sprint Results'!$K$5=A2,2,0)+IF('Sprint Results'!$L$5=A2,1,0),0),0)</f>
        <v>63</v>
      </c>
      <c r="N25" s="1" t="n">
        <f aca="false">IFERROR(IFERROR(IFERROR(IFERROR(IFERROR(IFERROR(IFERROR(IFERROR(IFERROR(IFERROR(IFERROR(IFERROR(IFERROR(IFERROR(IF('Race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Results'!$R$11="Yes"),1,0),0),0)+IFERROR(IF('Race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Results'!$R$12="Yes"),1,0),0),0)+IFERROR(IF('Race Results'!$E$13=A2,25,0)+IF('Race Results'!$G$13=A2,18,0)+IF('Race Results'!$H$13=A2,15,0)+IF('Race Results'!$I$13=A2,12,0)+IF('Race Results'!$J$13=A2,10,0)+IF('Race Results'!$K$13=A2,8,0)+IF('Race Results'!$L$13=A2,6,0)+IF('Race Results'!$M$13=A2,4,0)+IF('Race Results'!$N$13=A2,2,0)+IF('Race Results'!$O$13=A2,1,0)+IF(AND('Race Results'!$Q$13=A2,'Race Results'!$R$13="Yes"),1,0)+IF('Sprint Results'!$E$5=A2,8,0)+IF('Sprint Results'!$F$5=A2,7,0)+IF('Sprint Results'!$G$5=A2,6,0)+IF('Sprint Results'!$H$5=A2,5,0)+IF('Sprint Results'!$I$5=A2,4,0)+IF('Sprint Results'!$J$5=A2,3,0)+IF('Sprint Results'!$K$5=A2,2,0)+IF('Sprint Results'!$L$5=A2,1,0),0),0)+IFERROR(IF('Race Results'!$E$14=A2,25,0)+IF('Race Results'!$G$14=A2,18,0)+IF('Race Results'!$H$14=A2,15,0)+IF('Race Results'!$I$14=A2,12,0)+IF('Race Results'!$J$14=A2,10,0)+IF('Race Results'!$K$14=A2,8,0)+IF('Race Results'!$L$14=A2,6,0)+IF('Race Results'!$M$14=A2,4,0)+IF('Race Results'!$N$14=A2,2,0)+IF('Race Results'!$O$14=A2,1,0)+IF(AND('Race Results'!$Q$14=A2,'Race Results'!$R$14="Yes"),1,0),0),0)</f>
        <v>63</v>
      </c>
      <c r="O25" s="1" t="n">
        <f aca="false">IFERROR(IFERROR(IFERROR(IFERROR(IFERROR(IFERROR(IFERROR(IFERROR(IFERROR(IFERROR(IFERROR(IFERROR(IFERROR(IFERROR(IFERROR(IF('Race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Results'!$R$11="Yes"),1,0),0),0)+IFERROR(IF('Race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Results'!$R$12="Yes"),1,0),0),0)+IFERROR(IF('Race Results'!$E$13=A2,25,0)+IF('Race Results'!$G$13=A2,18,0)+IF('Race Results'!$H$13=A2,15,0)+IF('Race Results'!$I$13=A2,12,0)+IF('Race Results'!$J$13=A2,10,0)+IF('Race Results'!$K$13=A2,8,0)+IF('Race Results'!$L$13=A2,6,0)+IF('Race Results'!$M$13=A2,4,0)+IF('Race Results'!$N$13=A2,2,0)+IF('Race Results'!$O$13=A2,1,0)+IF(AND('Race Results'!$Q$13=A2,'Race Results'!$R$13="Yes"),1,0)+IF('Sprint Results'!$E$5=A2,8,0)+IF('Sprint Results'!$F$5=A2,7,0)+IF('Sprint Results'!$G$5=A2,6,0)+IF('Sprint Results'!$H$5=A2,5,0)+IF('Sprint Results'!$I$5=A2,4,0)+IF('Sprint Results'!$J$5=A2,3,0)+IF('Sprint Results'!$K$5=A2,2,0)+IF('Sprint Results'!$L$5=A2,1,0),0),0)+IFERROR(IF('Race Results'!$E$14=A2,25,0)+IF('Race Results'!$G$14=A2,18,0)+IF('Race Results'!$H$14=A2,15,0)+IF('Race Results'!$I$14=A2,12,0)+IF('Race Results'!$J$14=A2,10,0)+IF('Race Results'!$K$14=A2,8,0)+IF('Race Results'!$L$14=A2,6,0)+IF('Race Results'!$M$14=A2,4,0)+IF('Race Results'!$N$14=A2,2,0)+IF('Race Results'!$O$14=A2,1,0)+IF(AND('Race Results'!$Q$14=A2,'Race Results'!$R$14="Yes"),1,0),0),0)+IFERROR(IF('Race Results'!$E$15=A2,25,0)+IF('Race Results'!$G$15=A2,18,0)+IF('Race Results'!$H$15=A2,15,0)+IF('Race Results'!$I$15=A2,12,0)+IF('Race Results'!$J$15=A2,10,0)+IF('Race Results'!$K$15=A2,8,0)+IF('Race Results'!$L$15=A2,6,0)+IF('Race Results'!$M$15=A2,4,0)+IF('Race Results'!$N$15=A2,2,0)+IF('Race Results'!$O$15=A2,1,0)+IF(AND('Race Results'!$Q$15=A2,'Race Results'!$R$15="Yes"),1,0),0),0)</f>
        <v>63</v>
      </c>
      <c r="P25" s="1" t="n">
        <f aca="false">IFERROR(IFERROR(IFERROR(IFERROR(IFERROR(IFERROR(IFERROR(IFERROR(IFERROR(IFERROR(IFERROR(IFERROR(IFERROR(IFERROR(IFERROR(IFERROR(IF('Race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Results'!$R$11="Yes"),1,0),0),0)+IFERROR(IF('Race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Results'!$R$12="Yes"),1,0),0),0)+IFERROR(IF('Race Results'!$E$13=A2,25,0)+IF('Race Results'!$G$13=A2,18,0)+IF('Race Results'!$H$13=A2,15,0)+IF('Race Results'!$I$13=A2,12,0)+IF('Race Results'!$J$13=A2,10,0)+IF('Race Results'!$K$13=A2,8,0)+IF('Race Results'!$L$13=A2,6,0)+IF('Race Results'!$M$13=A2,4,0)+IF('Race Results'!$N$13=A2,2,0)+IF('Race Results'!$O$13=A2,1,0)+IF(AND('Race Results'!$Q$13=A2,'Race Results'!$R$13="Yes"),1,0)+IF('Sprint Results'!$E$5=A2,8,0)+IF('Sprint Results'!$F$5=A2,7,0)+IF('Sprint Results'!$G$5=A2,6,0)+IF('Sprint Results'!$H$5=A2,5,0)+IF('Sprint Results'!$I$5=A2,4,0)+IF('Sprint Results'!$J$5=A2,3,0)+IF('Sprint Results'!$K$5=A2,2,0)+IF('Sprint Results'!$L$5=A2,1,0),0),0)+IFERROR(IF('Race Results'!$E$14=A2,25,0)+IF('Race Results'!$G$14=A2,18,0)+IF('Race Results'!$H$14=A2,15,0)+IF('Race Results'!$I$14=A2,12,0)+IF('Race Results'!$J$14=A2,10,0)+IF('Race Results'!$K$14=A2,8,0)+IF('Race Results'!$L$14=A2,6,0)+IF('Race Results'!$M$14=A2,4,0)+IF('Race Results'!$N$14=A2,2,0)+IF('Race Results'!$O$14=A2,1,0)+IF(AND('Race Results'!$Q$14=A2,'Race Results'!$R$14="Yes"),1,0),0),0)+IFERROR(IF('Race Results'!$E$15=A2,25,0)+IF('Race Results'!$G$15=A2,18,0)+IF('Race Results'!$H$15=A2,15,0)+IF('Race Results'!$I$15=A2,12,0)+IF('Race Results'!$J$15=A2,10,0)+IF('Race Results'!$K$15=A2,8,0)+IF('Race Results'!$L$15=A2,6,0)+IF('Race Results'!$M$15=A2,4,0)+IF('Race Results'!$N$15=A2,2,0)+IF('Race Results'!$O$15=A2,1,0)+IF(AND('Race Results'!$Q$15=A2,'Race Results'!$R$15="Yes"),1,0),0),0)+IFERROR(IF('Race Results'!$E$16=A2,25,0)+IF('Race Results'!$G$16=A2,18,0)+IF('Race Results'!$H$16=A2,15,0)+IF('Race Results'!$I$16=A2,12,0)+IF('Race Results'!$J$16=A2,10,0)+IF('Race Results'!$K$16=A2,8,0)+IF('Race Results'!$L$16=A2,6,0)+IF('Race Results'!$M$16=A2,4,0)+IF('Race Results'!$N$16=A2,2,0)+IF('Race Results'!$O$16=A2,1,0)+IF(AND('Race Results'!$Q$16=A2,'Race Results'!$R$16="Yes"),1,0)+IF('Sprint Results'!$E$6=A2,8,0)+IF('Sprint Results'!$F$6=A2,7,0)+IF('Sprint Results'!$G$6=A2,6,0)+IF('Sprint Results'!$H$6=A2,5,0)+IF('Sprint Results'!$I$6=A2,4,0)+IF('Sprint Results'!$J$6=A2,3,0)+IF('Sprint Results'!$K$6=A2,2,0)+IF('Sprint Results'!$L$6=A2,1,0),0),0)</f>
        <v>63</v>
      </c>
      <c r="Q25" s="1" t="n">
        <f aca="false">IFERROR(IFERROR(IFERROR(IFERROR(IFERROR(IFERROR(IFERROR(IFERROR(IFERROR(IFERROR(IFERROR(IFERROR(IFERROR(IFERROR(IFERROR(IFERROR(IFERROR(IF('Race Results'!$E$2=A2,25,0)+IF('Race Results'!$G$2=A2,18,0)+IF('Race Results'!$H$2=A2,15,0)+IF('Race Results'!$I$2=A2,12,0)+IF('Race Results'!$J$2=A2,10,0)+IF('Race Results'!$K$2=A2,8,0)+IF('Race Results'!$L$2=A2,6,0)+IF('Race Results'!$M$2=A2,4,0)+IF('Race Results'!$N$2=A2,2,0)+IF('Race Results'!$O$2=A2,1,0)+IF(AND('Race Results'!$Q$2=A2,'Race Results'!$R$2="Yes"),1,0),0),0)+IFERROR(IF('Race Results'!$E$3=A2,25,0)+IF('Race Results'!$G$3=A2,18,0)+IF('Race Results'!$H$3=A2,15,0)+IF('Race Results'!$I$3=A2,12,0)+IF('Race Results'!$J$3=A2,10,0)+IF('Race Results'!$K$3=A2,8,0)+IF('Race Results'!$L$3=A2,6,0)+IF('Race Results'!$M$3=A2,4,0)+IF('Race Results'!$N$3=A2,2,0)+IF('Race Results'!$O$3=A2,1,0)+IF(AND('Race Results'!$Q$3=A2,'Race Results'!$R$3="Yes"),1,0)+IF('Sprint Results'!$E$2=A2,8,0)+IF('Sprint Results'!$F$2=A2,7,0)+IF('Sprint Results'!$G$2=A2,6,0)+IF('Sprint Results'!$H$2=A2,5,0)+IF('Sprint Results'!$I$2=A2,4,0)+IF('Sprint Results'!$J$2=A2,3,0)+IF('Sprint Results'!$K$2=A2,2,0)+IF('Sprint Results'!$L$2=A2,1,0),0),0)+IFERROR(IF('Race Results'!$E$4=A2,25,0)+IF('Race Results'!$G$4=A2,18,0)+IF('Race Results'!$H$4=A2,15,0)+IF('Race Results'!$I$4=A2,12,0)+IF('Race Results'!$J$4=A2,10,0)+IF('Race Results'!$K$4=A2,8,0)+IF('Race Results'!$L$4=A2,6,0)+IF('Race Results'!$M$4=A2,4,0)+IF('Race Results'!$N$4=A2,2,0)+IF('Race Results'!$O$4=A2,1,0)+IF(AND('Race Results'!$Q$4=A2,'Race Results'!$R$4="Yes"),1,0),0),0)+IFERROR(IF('Race Results'!$E$5=A2,25,0)+IF('Race Results'!$G$5=A2,18,0)+IF('Race Results'!$H$5=A2,15,0)+IF('Race Results'!$I$5=A2,12,0)+IF('Race Results'!$J$5=A2,10,0)+IF('Race Results'!$K$5=A2,8,0)+IF('Race Results'!$L$5=A2,6,0)+IF('Race Results'!$M$5=A2,4,0)+IF('Race Results'!$N$5=A2,2,0)+IF('Race Results'!$O$5=A2,1,0)+IF(AND('Race Results'!$Q$5=A2,'Race Results'!$R$5="Yes"),1,0),0),0)+IFERROR(IF('Race Results'!$E$6=A2,25,0)+IF('Race Results'!$G$6=A2,18,0)+IF('Race Results'!$H$6=A2,15,0)+IF('Race Results'!$I$6=A2,12,0)+IF('Race Results'!$J$6=A2,10,0)+IF('Race Results'!$K$6=A2,8,0)+IF('Race Results'!$L$6=A2,6,0)+IF('Race Results'!$M$6=A2,4,0)+IF('Race Results'!$N$6=A2,2,0)+IF('Race Results'!$O$6=A2,1,0)+IF(AND('Race Results'!$Q$6=A2,'Race Results'!$R$6="Yes"),1,0),0),0)+IFERROR(IF('Race Results'!$E$7=A2,25,0)+IF('Race Results'!$G$7=A2,18,0)+IF('Race Results'!$H$7=A2,15,0)+IF('Race Results'!$I$7=A2,12,0)+IF('Race Results'!$J$7=A2,10,0)+IF('Race Results'!$K$7=A2,8,0)+IF('Race Results'!$L$7=A2,6,0)+IF('Race Results'!$M$7=A2,4,0)+IF('Race Results'!$N$7=A2,2,0)+IF('Race Results'!$O$7=A2,1,0)+IF(AND('Race Results'!$Q$7=A2,'Race Results'!$R$7="Yes"),1,0)+IF('Sprint Results'!$E$3=A2,8,0)+IF('Sprint Results'!$F$3=A2,7,0)+IF('Sprint Results'!$G$3=A2,6,0)+IF('Sprint Results'!$H$3=A2,5,0)+IF('Sprint Results'!$I$3=A2,4,0)+IF('Sprint Results'!$J$3=A2,3,0)+IF('Sprint Results'!$K$3=A2,2,0)+IF('Sprint Results'!$L$3=A2,1,0),0),0)+IFERROR(IF('Race Results'!$E$8=A2,25,0)+IF('Race Results'!$G$8=A2,18,0)+IF('Race Results'!$H$8=A2,15,0)+IF('Race Results'!$I$8=A2,12,0)+IF('Race Results'!$J$8=A2,10,0)+IF('Race Results'!$K$8=A2,8,0)+IF('Race Results'!$L$8=A2,6,0)+IF('Race Results'!$M$8=A2,4,0)+IF('Race Results'!$N$8=A2,2,0)+IF('Race Results'!$O$8=A2,1,0)+IF(AND('Race Results'!$Q$8=A2,'Race Results'!$R$8="Yes"),1,0)+IF('Sprint Results'!$E$4=A2,8,0)+IF('Sprint Results'!$F$4=A2,7,0)+IF('Sprint Results'!$G$4=A2,6,0)+IF('Sprint Results'!$H$4=A2,5,0)+IF('Sprint Results'!$I$4=A2,4,0)+IF('Sprint Results'!$J$4=A2,3,0)+IF('Sprint Results'!$K$4=A2,2,0)+IF('Sprint Results'!$L$4=A2,1,0),0),0)+IFERROR(IF('Race Results'!$E$9=A2,25,0)+IF('Race Results'!$G$9=A2,18,0)+IF('Race Results'!$H$9=A2,15,0)+IF('Race Results'!$I$9=A2,12,0)+IF('Race Results'!$J$9=A2,10,0)+IF('Race Results'!$K$9=A2,8,0)+IF('Race Results'!$L$9=A2,6,0)+IF('Race Results'!$M$9=A2,4,0)+IF('Race Results'!$N$9=A2,2,0)+IF('Race Results'!$O$9=A2,1,0)+IF(AND('Race Results'!$Q$9=A2,'Race Results'!$R$9="Yes"),1,0),0),0)+IFERROR(IF('Race Results'!$E$10=A2,25,0)+IF('Race Results'!$G$10=A2,18,0)+IF('Race Results'!$H$10=A2,15,0)+IF('Race Results'!$I$10=A2,12,0)+IF('Race Results'!$J$10=A2,10,0)+IF('Race Results'!$K$10=A2,8,0)+IF('Race Results'!$L$10=A2,6,0)+IF('Race Results'!$M$10=A2,4,0)+IF('Race Results'!$N$10=A2,2,0)+IF('Race Results'!$O$10=A2,1,0)+IF(AND('Race Results'!$Q$10=A2,'Race Results'!$R$10="Yes"),1,0),0),0)+IFERROR(IF('Race Results'!$E$11=A2,25,0)+IF('Race Results'!$G$11=A2,18,0)+IF('Race Results'!$H$11=A2,15,0)+IF('Race Results'!$I$11=A2,12,0)+IF('Race Results'!$J$11=A2,10,0)+IF('Race Results'!$K$11=A2,8,0)+IF('Race Results'!$L$11=A2,6,0)+IF('Race Results'!$M$11=A2,4,0)+IF('Race Results'!$N$11=A2,2,0)+IF('Race Results'!$O$11=A2,1,0)+IF(AND('Race Results'!$Q$11=A2,'Race Results'!$R$11="Yes"),1,0),0),0)+IFERROR(IF('Race Results'!$E$12=A2,25,0)+IF('Race Results'!$G$12=A2,18,0)+IF('Race Results'!$H$12=A2,15,0)+IF('Race Results'!$I$12=A2,12,0)+IF('Race Results'!$J$12=A2,10,0)+IF('Race Results'!$K$12=A2,8,0)+IF('Race Results'!$L$12=A2,6,0)+IF('Race Results'!$M$12=A2,4,0)+IF('Race Results'!$N$12=A2,2,0)+IF('Race Results'!$O$12=A2,1,0)+IF(AND('Race Results'!$Q$12=A2,'Race Results'!$R$12="Yes"),1,0),0),0)+IFERROR(IF('Race Results'!$E$13=A2,25,0)+IF('Race Results'!$G$13=A2,18,0)+IF('Race Results'!$H$13=A2,15,0)+IF('Race Results'!$I$13=A2,12,0)+IF('Race Results'!$J$13=A2,10,0)+IF('Race Results'!$K$13=A2,8,0)+IF('Race Results'!$L$13=A2,6,0)+IF('Race Results'!$M$13=A2,4,0)+IF('Race Results'!$N$13=A2,2,0)+IF('Race Results'!$O$13=A2,1,0)+IF(AND('Race Results'!$Q$13=A2,'Race Results'!$R$13="Yes"),1,0)+IF('Sprint Results'!$E$5=A2,8,0)+IF('Sprint Results'!$F$5=A2,7,0)+IF('Sprint Results'!$G$5=A2,6,0)+IF('Sprint Results'!$H$5=A2,5,0)+IF('Sprint Results'!$I$5=A2,4,0)+IF('Sprint Results'!$J$5=A2,3,0)+IF('Sprint Results'!$K$5=A2,2,0)+IF('Sprint Results'!$L$5=A2,1,0),0),0)+IFERROR(IF('Race Results'!$E$14=A2,25,0)+IF('Race Results'!$G$14=A2,18,0)+IF('Race Results'!$H$14=A2,15,0)+IF('Race Results'!$I$14=A2,12,0)+IF('Race Results'!$J$14=A2,10,0)+IF('Race Results'!$K$14=A2,8,0)+IF('Race Results'!$L$14=A2,6,0)+IF('Race Results'!$M$14=A2,4,0)+IF('Race Results'!$N$14=A2,2,0)+IF('Race Results'!$O$14=A2,1,0)+IF(AND('Race Results'!$Q$14=A2,'Race Results'!$R$14="Yes"),1,0),0),0)+IFERROR(IF('Race Results'!$E$15=A2,25,0)+IF('Race Results'!$G$15=A2,18,0)+IF('Race Results'!$H$15=A2,15,0)+IF('Race Results'!$I$15=A2,12,0)+IF('Race Results'!$J$15=A2,10,0)+IF('Race Results'!$K$15=A2,8,0)+IF('Race Results'!$L$15=A2,6,0)+IF('Race Results'!$M$15=A2,4,0)+IF('Race Results'!$N$15=A2,2,0)+IF('Race Results'!$O$15=A2,1,0)+IF(AND('Race Results'!$Q$15=A2,'Race Results'!$R$15="Yes"),1,0),0),0)+IFERROR(IF('Race Results'!$E$16=A2,25,0)+IF('Race Results'!$G$16=A2,18,0)+IF('Race Results'!$H$16=A2,15,0)+IF('Race Results'!$I$16=A2,12,0)+IF('Race Results'!$J$16=A2,10,0)+IF('Race Results'!$K$16=A2,8,0)+IF('Race Results'!$L$16=A2,6,0)+IF('Race Results'!$M$16=A2,4,0)+IF('Race Results'!$N$16=A2,2,0)+IF('Race Results'!$O$16=A2,1,0)+IF(AND('Race Results'!$Q$16=A2,'Race Results'!$R$16="Yes"),1,0)+IF('Sprint Results'!$E$6=A2,8,0)+IF('Sprint Results'!$F$6=A2,7,0)+IF('Sprint Results'!$G$6=A2,6,0)+IF('Sprint Results'!$H$6=A2,5,0)+IF('Sprint Results'!$I$6=A2,4,0)+IF('Sprint Results'!$J$6=A2,3,0)+IF('Sprint Results'!$K$6=A2,2,0)+IF('Sprint Results'!$L$6=A2,1,0),0),0)+IFERROR(IF('Race Results'!$E$17=A2,25,0)+IF('Race Results'!$G$17=A2,18,0)+IF('Race Results'!$H$17=A2,15,0)+IF('Race Results'!$I$17=A2,12,0)+IF('Race Results'!$J$17=A2,10,0)+IF('Race Results'!$K$17=A2,8,0)+IF('Race Results'!$L$17=A2,6,0)+IF('Race Results'!$M$17=A2,4,0)+IF('Race Results'!$N$17=A2,2,0)+IF('Race Results'!$O$17=A2,1,0)+IF(AND('Race Results'!$Q$17=A2,'Race Results'!$R$17="Yes"),1,0),0),0)</f>
        <v>63</v>
      </c>
      <c r="R25" s="1" t="n">
        <v>52</v>
      </c>
      <c r="S25" s="1" t="n">
        <v>52</v>
      </c>
      <c r="T25" s="1" t="n">
        <v>52</v>
      </c>
      <c r="U25" s="1" t="n">
        <v>52</v>
      </c>
      <c r="V25" s="1" t="n">
        <v>52</v>
      </c>
      <c r="W25" s="1" t="n">
        <v>52</v>
      </c>
      <c r="X25" s="1" t="n">
        <v>52</v>
      </c>
      <c r="Y25" s="1" t="n">
        <v>52</v>
      </c>
    </row>
    <row r="26" customFormat="false" ht="14.25" hidden="false" customHeight="true" outlineLevel="0" collapsed="false">
      <c r="A26" s="1" t="s">
        <v>49</v>
      </c>
      <c r="B26" s="1" t="n">
        <f aca="false">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</f>
        <v>18</v>
      </c>
      <c r="C26" s="1" t="n">
        <f aca="false">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</f>
        <v>47</v>
      </c>
      <c r="D26" s="1" t="n">
        <f aca="false">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</f>
        <v>72</v>
      </c>
      <c r="E26" s="1" t="n">
        <f aca="false">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</f>
        <v>72</v>
      </c>
      <c r="F26" s="1" t="n">
        <f aca="false">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</f>
        <v>72</v>
      </c>
      <c r="G26" s="1" t="n">
        <f aca="false">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</f>
        <v>72</v>
      </c>
      <c r="H26" s="1" t="n">
        <f aca="false">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</f>
        <v>72</v>
      </c>
      <c r="I26" s="1" t="n">
        <f aca="false">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</f>
        <v>72</v>
      </c>
      <c r="J26" s="1" t="n">
        <f aca="false">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</f>
        <v>72</v>
      </c>
      <c r="K26" s="1" t="n">
        <f aca="false">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</f>
        <v>72</v>
      </c>
      <c r="L26" s="1" t="n">
        <f aca="false">IFERROR(IFERROR(IFERROR(IFERROR(IFERROR(IFERROR(IFERROR(IFERROR(IFERROR(IFERROR(IFERROR(IFERROR(IF('Race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Results'!$R$11="Yes"),1,0),0),0)+IFERROR(IF('Race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Results'!$R$12="Yes"),1,0),0),0)</f>
        <v>72</v>
      </c>
      <c r="M26" s="1" t="n">
        <f aca="false">IFERROR(IFERROR(IFERROR(IFERROR(IFERROR(IFERROR(IFERROR(IFERROR(IFERROR(IFERROR(IFERROR(IFERROR(IFERROR(IF('Race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Results'!$R$11="Yes"),1,0),0),0)+IFERROR(IF('Race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Results'!$R$12="Yes"),1,0),0),0)+IFERROR(IF('Race Results'!$E$13=A3,25,0)+IF('Race Results'!$G$13=A3,18,0)+IF('Race Results'!$H$13=A3,15,0)+IF('Race Results'!$I$13=A3,12,0)+IF('Race Results'!$J$13=A3,10,0)+IF('Race Results'!$K$13=A3,8,0)+IF('Race Results'!$L$13=A3,6,0)+IF('Race Results'!$M$13=A3,4,0)+IF('Race Results'!$N$13=A3,2,0)+IF('Race Results'!$O$13=A3,1,0)+IF(AND('Race Results'!$Q$13=A3,'Race Results'!$R$13="Yes"),1,0)+IF('Sprint Results'!$E$5=A3,8,0)+IF('Sprint Results'!$F$5=A3,7,0)+IF('Sprint Results'!$G$5=A3,6,0)+IF('Sprint Results'!$H$5=A3,5,0)+IF('Sprint Results'!$I$5=A3,4,0)+IF('Sprint Results'!$J$5=A3,3,0)+IF('Sprint Results'!$K$5=A3,2,0)+IF('Sprint Results'!$L$5=A3,1,0),0),0)</f>
        <v>72</v>
      </c>
      <c r="N26" s="1" t="n">
        <f aca="false">IFERROR(IFERROR(IFERROR(IFERROR(IFERROR(IFERROR(IFERROR(IFERROR(IFERROR(IFERROR(IFERROR(IFERROR(IFERROR(IFERROR(IF('Race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Results'!$R$11="Yes"),1,0),0),0)+IFERROR(IF('Race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Results'!$R$12="Yes"),1,0),0),0)+IFERROR(IF('Race Results'!$E$13=A3,25,0)+IF('Race Results'!$G$13=A3,18,0)+IF('Race Results'!$H$13=A3,15,0)+IF('Race Results'!$I$13=A3,12,0)+IF('Race Results'!$J$13=A3,10,0)+IF('Race Results'!$K$13=A3,8,0)+IF('Race Results'!$L$13=A3,6,0)+IF('Race Results'!$M$13=A3,4,0)+IF('Race Results'!$N$13=A3,2,0)+IF('Race Results'!$O$13=A3,1,0)+IF(AND('Race Results'!$Q$13=A3,'Race Results'!$R$13="Yes"),1,0)+IF('Sprint Results'!$E$5=A3,8,0)+IF('Sprint Results'!$F$5=A3,7,0)+IF('Sprint Results'!$G$5=A3,6,0)+IF('Sprint Results'!$H$5=A3,5,0)+IF('Sprint Results'!$I$5=A3,4,0)+IF('Sprint Results'!$J$5=A3,3,0)+IF('Sprint Results'!$K$5=A3,2,0)+IF('Sprint Results'!$L$5=A3,1,0),0),0)+IFERROR(IF('Race Results'!$E$14=A3,25,0)+IF('Race Results'!$G$14=A3,18,0)+IF('Race Results'!$H$14=A3,15,0)+IF('Race Results'!$I$14=A3,12,0)+IF('Race Results'!$J$14=A3,10,0)+IF('Race Results'!$K$14=A3,8,0)+IF('Race Results'!$L$14=A3,6,0)+IF('Race Results'!$M$14=A3,4,0)+IF('Race Results'!$N$14=A3,2,0)+IF('Race Results'!$O$14=A3,1,0)+IF(AND('Race Results'!$Q$14=A3,'Race Results'!$R$14="Yes"),1,0),0),0)</f>
        <v>72</v>
      </c>
      <c r="O26" s="1" t="n">
        <f aca="false">IFERROR(IFERROR(IFERROR(IFERROR(IFERROR(IFERROR(IFERROR(IFERROR(IFERROR(IFERROR(IFERROR(IFERROR(IFERROR(IFERROR(IFERROR(IF('Race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Results'!$R$11="Yes"),1,0),0),0)+IFERROR(IF('Race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Results'!$R$12="Yes"),1,0),0),0)+IFERROR(IF('Race Results'!$E$13=A3,25,0)+IF('Race Results'!$G$13=A3,18,0)+IF('Race Results'!$H$13=A3,15,0)+IF('Race Results'!$I$13=A3,12,0)+IF('Race Results'!$J$13=A3,10,0)+IF('Race Results'!$K$13=A3,8,0)+IF('Race Results'!$L$13=A3,6,0)+IF('Race Results'!$M$13=A3,4,0)+IF('Race Results'!$N$13=A3,2,0)+IF('Race Results'!$O$13=A3,1,0)+IF(AND('Race Results'!$Q$13=A3,'Race Results'!$R$13="Yes"),1,0)+IF('Sprint Results'!$E$5=A3,8,0)+IF('Sprint Results'!$F$5=A3,7,0)+IF('Sprint Results'!$G$5=A3,6,0)+IF('Sprint Results'!$H$5=A3,5,0)+IF('Sprint Results'!$I$5=A3,4,0)+IF('Sprint Results'!$J$5=A3,3,0)+IF('Sprint Results'!$K$5=A3,2,0)+IF('Sprint Results'!$L$5=A3,1,0),0),0)+IFERROR(IF('Race Results'!$E$14=A3,25,0)+IF('Race Results'!$G$14=A3,18,0)+IF('Race Results'!$H$14=A3,15,0)+IF('Race Results'!$I$14=A3,12,0)+IF('Race Results'!$J$14=A3,10,0)+IF('Race Results'!$K$14=A3,8,0)+IF('Race Results'!$L$14=A3,6,0)+IF('Race Results'!$M$14=A3,4,0)+IF('Race Results'!$N$14=A3,2,0)+IF('Race Results'!$O$14=A3,1,0)+IF(AND('Race Results'!$Q$14=A3,'Race Results'!$R$14="Yes"),1,0),0),0)+IFERROR(IF('Race Results'!$E$15=A3,25,0)+IF('Race Results'!$G$15=A3,18,0)+IF('Race Results'!$H$15=A3,15,0)+IF('Race Results'!$I$15=A3,12,0)+IF('Race Results'!$J$15=A3,10,0)+IF('Race Results'!$K$15=A3,8,0)+IF('Race Results'!$L$15=A3,6,0)+IF('Race Results'!$M$15=A3,4,0)+IF('Race Results'!$N$15=A3,2,0)+IF('Race Results'!$O$15=A3,1,0)+IF(AND('Race Results'!$Q$15=A3,'Race Results'!$R$15="Yes"),1,0),0),0)</f>
        <v>72</v>
      </c>
      <c r="P26" s="1" t="n">
        <f aca="false">IFERROR(IFERROR(IFERROR(IFERROR(IFERROR(IFERROR(IFERROR(IFERROR(IFERROR(IFERROR(IFERROR(IFERROR(IFERROR(IFERROR(IFERROR(IFERROR(IF('Race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Results'!$R$11="Yes"),1,0),0),0)+IFERROR(IF('Race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Results'!$R$12="Yes"),1,0),0),0)+IFERROR(IF('Race Results'!$E$13=A3,25,0)+IF('Race Results'!$G$13=A3,18,0)+IF('Race Results'!$H$13=A3,15,0)+IF('Race Results'!$I$13=A3,12,0)+IF('Race Results'!$J$13=A3,10,0)+IF('Race Results'!$K$13=A3,8,0)+IF('Race Results'!$L$13=A3,6,0)+IF('Race Results'!$M$13=A3,4,0)+IF('Race Results'!$N$13=A3,2,0)+IF('Race Results'!$O$13=A3,1,0)+IF(AND('Race Results'!$Q$13=A3,'Race Results'!$R$13="Yes"),1,0)+IF('Sprint Results'!$E$5=A3,8,0)+IF('Sprint Results'!$F$5=A3,7,0)+IF('Sprint Results'!$G$5=A3,6,0)+IF('Sprint Results'!$H$5=A3,5,0)+IF('Sprint Results'!$I$5=A3,4,0)+IF('Sprint Results'!$J$5=A3,3,0)+IF('Sprint Results'!$K$5=A3,2,0)+IF('Sprint Results'!$L$5=A3,1,0),0),0)+IFERROR(IF('Race Results'!$E$14=A3,25,0)+IF('Race Results'!$G$14=A3,18,0)+IF('Race Results'!$H$14=A3,15,0)+IF('Race Results'!$I$14=A3,12,0)+IF('Race Results'!$J$14=A3,10,0)+IF('Race Results'!$K$14=A3,8,0)+IF('Race Results'!$L$14=A3,6,0)+IF('Race Results'!$M$14=A3,4,0)+IF('Race Results'!$N$14=A3,2,0)+IF('Race Results'!$O$14=A3,1,0)+IF(AND('Race Results'!$Q$14=A3,'Race Results'!$R$14="Yes"),1,0),0),0)+IFERROR(IF('Race Results'!$E$15=A3,25,0)+IF('Race Results'!$G$15=A3,18,0)+IF('Race Results'!$H$15=A3,15,0)+IF('Race Results'!$I$15=A3,12,0)+IF('Race Results'!$J$15=A3,10,0)+IF('Race Results'!$K$15=A3,8,0)+IF('Race Results'!$L$15=A3,6,0)+IF('Race Results'!$M$15=A3,4,0)+IF('Race Results'!$N$15=A3,2,0)+IF('Race Results'!$O$15=A3,1,0)+IF(AND('Race Results'!$Q$15=A3,'Race Results'!$R$15="Yes"),1,0),0),0)+IFERROR(IF('Race Results'!$E$16=A3,25,0)+IF('Race Results'!$G$16=A3,18,0)+IF('Race Results'!$H$16=A3,15,0)+IF('Race Results'!$I$16=A3,12,0)+IF('Race Results'!$J$16=A3,10,0)+IF('Race Results'!$K$16=A3,8,0)+IF('Race Results'!$L$16=A3,6,0)+IF('Race Results'!$M$16=A3,4,0)+IF('Race Results'!$N$16=A3,2,0)+IF('Race Results'!$O$16=A3,1,0)+IF(AND('Race Results'!$Q$16=A3,'Race Results'!$R$16="Yes"),1,0)+IF('Sprint Results'!$E$6=A3,8,0)+IF('Sprint Results'!$F$6=A3,7,0)+IF('Sprint Results'!$G$6=A3,6,0)+IF('Sprint Results'!$H$6=A3,5,0)+IF('Sprint Results'!$I$6=A3,4,0)+IF('Sprint Results'!$J$6=A3,3,0)+IF('Sprint Results'!$K$6=A3,2,0)+IF('Sprint Results'!$L$6=A3,1,0),0),0)</f>
        <v>72</v>
      </c>
      <c r="Q26" s="1" t="n">
        <f aca="false">IFERROR(IFERROR(IFERROR(IFERROR(IFERROR(IFERROR(IFERROR(IFERROR(IFERROR(IFERROR(IFERROR(IFERROR(IFERROR(IFERROR(IFERROR(IFERROR(IFERROR(IF('Race Results'!$E$2=A3,25,0)+IF('Race Results'!$G$2=A3,18,0)+IF('Race Results'!$H$2=A3,15,0)+IF('Race Results'!$I$2=A3,12,0)+IF('Race Results'!$J$2=A3,10,0)+IF('Race Results'!$K$2=A3,8,0)+IF('Race Results'!$L$2=A3,6,0)+IF('Race Results'!$M$2=A3,4,0)+IF('Race Results'!$N$2=A3,2,0)+IF('Race Results'!$O$2=A3,1,0)+IF(AND('Race Results'!$Q$2=A3,'Race Results'!$R$2="Yes"),1,0),0),0)+IFERROR(IF('Race Results'!$E$3=A3,25,0)+IF('Race Results'!$G$3=A3,18,0)+IF('Race Results'!$H$3=A3,15,0)+IF('Race Results'!$I$3=A3,12,0)+IF('Race Results'!$J$3=A3,10,0)+IF('Race Results'!$K$3=A3,8,0)+IF('Race Results'!$L$3=A3,6,0)+IF('Race Results'!$M$3=A3,4,0)+IF('Race Results'!$N$3=A3,2,0)+IF('Race Results'!$O$3=A3,1,0)+IF(AND('Race Results'!$Q$3=A3,'Race Results'!$R$3="Yes"),1,0)+IF('Sprint Results'!$E$2=A3,8,0)+IF('Sprint Results'!$F$2=A3,7,0)+IF('Sprint Results'!$G$2=A3,6,0)+IF('Sprint Results'!$H$2=A3,5,0)+IF('Sprint Results'!$I$2=A3,4,0)+IF('Sprint Results'!$J$2=A3,3,0)+IF('Sprint Results'!$K$2=A3,2,0)+IF('Sprint Results'!$L$2=A3,1,0),0),0)+IFERROR(IF('Race Results'!$E$4=A3,25,0)+IF('Race Results'!$G$4=A3,18,0)+IF('Race Results'!$H$4=A3,15,0)+IF('Race Results'!$I$4=A3,12,0)+IF('Race Results'!$J$4=A3,10,0)+IF('Race Results'!$K$4=A3,8,0)+IF('Race Results'!$L$4=A3,6,0)+IF('Race Results'!$M$4=A3,4,0)+IF('Race Results'!$N$4=A3,2,0)+IF('Race Results'!$O$4=A3,1,0)+IF(AND('Race Results'!$Q$4=A3,'Race Results'!$R$4="Yes"),1,0),0),0)+IFERROR(IF('Race Results'!$E$5=A3,25,0)+IF('Race Results'!$G$5=A3,18,0)+IF('Race Results'!$H$5=A3,15,0)+IF('Race Results'!$I$5=A3,12,0)+IF('Race Results'!$J$5=A3,10,0)+IF('Race Results'!$K$5=A3,8,0)+IF('Race Results'!$L$5=A3,6,0)+IF('Race Results'!$M$5=A3,4,0)+IF('Race Results'!$N$5=A3,2,0)+IF('Race Results'!$O$5=A3,1,0)+IF(AND('Race Results'!$Q$5=A3,'Race Results'!$R$5="Yes"),1,0),0),0)+IFERROR(IF('Race Results'!$E$6=A3,25,0)+IF('Race Results'!$G$6=A3,18,0)+IF('Race Results'!$H$6=A3,15,0)+IF('Race Results'!$I$6=A3,12,0)+IF('Race Results'!$J$6=A3,10,0)+IF('Race Results'!$K$6=A3,8,0)+IF('Race Results'!$L$6=A3,6,0)+IF('Race Results'!$M$6=A3,4,0)+IF('Race Results'!$N$6=A3,2,0)+IF('Race Results'!$O$6=A3,1,0)+IF(AND('Race Results'!$Q$6=A3,'Race Results'!$R$6="Yes"),1,0),0),0)+IFERROR(IF('Race Results'!$E$7=A3,25,0)+IF('Race Results'!$G$7=A3,18,0)+IF('Race Results'!$H$7=A3,15,0)+IF('Race Results'!$I$7=A3,12,0)+IF('Race Results'!$J$7=A3,10,0)+IF('Race Results'!$K$7=A3,8,0)+IF('Race Results'!$L$7=A3,6,0)+IF('Race Results'!$M$7=A3,4,0)+IF('Race Results'!$N$7=A3,2,0)+IF('Race Results'!$O$7=A3,1,0)+IF(AND('Race Results'!$Q$7=A3,'Race Results'!$R$7="Yes"),1,0)+IF('Sprint Results'!$E$3=A3,8,0)+IF('Sprint Results'!$F$3=A3,7,0)+IF('Sprint Results'!$G$3=A3,6,0)+IF('Sprint Results'!$H$3=A3,5,0)+IF('Sprint Results'!$I$3=A3,4,0)+IF('Sprint Results'!$J$3=A3,3,0)+IF('Sprint Results'!$K$3=A3,2,0)+IF('Sprint Results'!$L$3=A3,1,0),0),0)+IFERROR(IF('Race Results'!$E$8=A3,25,0)+IF('Race Results'!$G$8=A3,18,0)+IF('Race Results'!$H$8=A3,15,0)+IF('Race Results'!$I$8=A3,12,0)+IF('Race Results'!$J$8=A3,10,0)+IF('Race Results'!$K$8=A3,8,0)+IF('Race Results'!$L$8=A3,6,0)+IF('Race Results'!$M$8=A3,4,0)+IF('Race Results'!$N$8=A3,2,0)+IF('Race Results'!$O$8=A3,1,0)+IF(AND('Race Results'!$Q$8=A3,'Race Results'!$R$8="Yes"),1,0)+IF('Sprint Results'!$E$4=A3,8,0)+IF('Sprint Results'!$F$4=A3,7,0)+IF('Sprint Results'!$G$4=A3,6,0)+IF('Sprint Results'!$H$4=A3,5,0)+IF('Sprint Results'!$I$4=A3,4,0)+IF('Sprint Results'!$J$4=A3,3,0)+IF('Sprint Results'!$K$4=A3,2,0)+IF('Sprint Results'!$L$4=A3,1,0),0),0)+IFERROR(IF('Race Results'!$E$9=A3,25,0)+IF('Race Results'!$G$9=A3,18,0)+IF('Race Results'!$H$9=A3,15,0)+IF('Race Results'!$I$9=A3,12,0)+IF('Race Results'!$J$9=A3,10,0)+IF('Race Results'!$K$9=A3,8,0)+IF('Race Results'!$L$9=A3,6,0)+IF('Race Results'!$M$9=A3,4,0)+IF('Race Results'!$N$9=A3,2,0)+IF('Race Results'!$O$9=A3,1,0)+IF(AND('Race Results'!$Q$9=A3,'Race Results'!$R$9="Yes"),1,0),0),0)+IFERROR(IF('Race Results'!$E$10=A3,25,0)+IF('Race Results'!$G$10=A3,18,0)+IF('Race Results'!$H$10=A3,15,0)+IF('Race Results'!$I$10=A3,12,0)+IF('Race Results'!$J$10=A3,10,0)+IF('Race Results'!$K$10=A3,8,0)+IF('Race Results'!$L$10=A3,6,0)+IF('Race Results'!$M$10=A3,4,0)+IF('Race Results'!$N$10=A3,2,0)+IF('Race Results'!$O$10=A3,1,0)+IF(AND('Race Results'!$Q$10=A3,'Race Results'!$R$10="Yes"),1,0),0),0)+IFERROR(IF('Race Results'!$E$11=A3,25,0)+IF('Race Results'!$G$11=A3,18,0)+IF('Race Results'!$H$11=A3,15,0)+IF('Race Results'!$I$11=A3,12,0)+IF('Race Results'!$J$11=A3,10,0)+IF('Race Results'!$K$11=A3,8,0)+IF('Race Results'!$L$11=A3,6,0)+IF('Race Results'!$M$11=A3,4,0)+IF('Race Results'!$N$11=A3,2,0)+IF('Race Results'!$O$11=A3,1,0)+IF(AND('Race Results'!$Q$11=A3,'Race Results'!$R$11="Yes"),1,0),0),0)+IFERROR(IF('Race Results'!$E$12=A3,25,0)+IF('Race Results'!$G$12=A3,18,0)+IF('Race Results'!$H$12=A3,15,0)+IF('Race Results'!$I$12=A3,12,0)+IF('Race Results'!$J$12=A3,10,0)+IF('Race Results'!$K$12=A3,8,0)+IF('Race Results'!$L$12=A3,6,0)+IF('Race Results'!$M$12=A3,4,0)+IF('Race Results'!$N$12=A3,2,0)+IF('Race Results'!$O$12=A3,1,0)+IF(AND('Race Results'!$Q$12=A3,'Race Results'!$R$12="Yes"),1,0),0),0)+IFERROR(IF('Race Results'!$E$13=A3,25,0)+IF('Race Results'!$G$13=A3,18,0)+IF('Race Results'!$H$13=A3,15,0)+IF('Race Results'!$I$13=A3,12,0)+IF('Race Results'!$J$13=A3,10,0)+IF('Race Results'!$K$13=A3,8,0)+IF('Race Results'!$L$13=A3,6,0)+IF('Race Results'!$M$13=A3,4,0)+IF('Race Results'!$N$13=A3,2,0)+IF('Race Results'!$O$13=A3,1,0)+IF(AND('Race Results'!$Q$13=A3,'Race Results'!$R$13="Yes"),1,0)+IF('Sprint Results'!$E$5=A3,8,0)+IF('Sprint Results'!$F$5=A3,7,0)+IF('Sprint Results'!$G$5=A3,6,0)+IF('Sprint Results'!$H$5=A3,5,0)+IF('Sprint Results'!$I$5=A3,4,0)+IF('Sprint Results'!$J$5=A3,3,0)+IF('Sprint Results'!$K$5=A3,2,0)+IF('Sprint Results'!$L$5=A3,1,0),0),0)+IFERROR(IF('Race Results'!$E$14=A3,25,0)+IF('Race Results'!$G$14=A3,18,0)+IF('Race Results'!$H$14=A3,15,0)+IF('Race Results'!$I$14=A3,12,0)+IF('Race Results'!$J$14=A3,10,0)+IF('Race Results'!$K$14=A3,8,0)+IF('Race Results'!$L$14=A3,6,0)+IF('Race Results'!$M$14=A3,4,0)+IF('Race Results'!$N$14=A3,2,0)+IF('Race Results'!$O$14=A3,1,0)+IF(AND('Race Results'!$Q$14=A3,'Race Results'!$R$14="Yes"),1,0),0),0)+IFERROR(IF('Race Results'!$E$15=A3,25,0)+IF('Race Results'!$G$15=A3,18,0)+IF('Race Results'!$H$15=A3,15,0)+IF('Race Results'!$I$15=A3,12,0)+IF('Race Results'!$J$15=A3,10,0)+IF('Race Results'!$K$15=A3,8,0)+IF('Race Results'!$L$15=A3,6,0)+IF('Race Results'!$M$15=A3,4,0)+IF('Race Results'!$N$15=A3,2,0)+IF('Race Results'!$O$15=A3,1,0)+IF(AND('Race Results'!$Q$15=A3,'Race Results'!$R$15="Yes"),1,0),0),0)+IFERROR(IF('Race Results'!$E$16=A3,25,0)+IF('Race Results'!$G$16=A3,18,0)+IF('Race Results'!$H$16=A3,15,0)+IF('Race Results'!$I$16=A3,12,0)+IF('Race Results'!$J$16=A3,10,0)+IF('Race Results'!$K$16=A3,8,0)+IF('Race Results'!$L$16=A3,6,0)+IF('Race Results'!$M$16=A3,4,0)+IF('Race Results'!$N$16=A3,2,0)+IF('Race Results'!$O$16=A3,1,0)+IF(AND('Race Results'!$Q$16=A3,'Race Results'!$R$16="Yes"),1,0)+IF('Sprint Results'!$E$6=A3,8,0)+IF('Sprint Results'!$F$6=A3,7,0)+IF('Sprint Results'!$G$6=A3,6,0)+IF('Sprint Results'!$H$6=A3,5,0)+IF('Sprint Results'!$I$6=A3,4,0)+IF('Sprint Results'!$J$6=A3,3,0)+IF('Sprint Results'!$K$6=A3,2,0)+IF('Sprint Results'!$L$6=A3,1,0),0),0)+IFERROR(IF('Race Results'!$E$17=A3,25,0)+IF('Race Results'!$G$17=A3,18,0)+IF('Race Results'!$H$17=A3,15,0)+IF('Race Results'!$I$17=A3,12,0)+IF('Race Results'!$J$17=A3,10,0)+IF('Race Results'!$K$17=A3,8,0)+IF('Race Results'!$L$17=A3,6,0)+IF('Race Results'!$M$17=A3,4,0)+IF('Race Results'!$N$17=A3,2,0)+IF('Race Results'!$O$17=A3,1,0)+IF(AND('Race Results'!$Q$17=A3,'Race Results'!$R$17="Yes"),1,0),0),0)</f>
        <v>72</v>
      </c>
      <c r="R26" s="1" t="n">
        <v>48</v>
      </c>
      <c r="S26" s="1" t="n">
        <v>48</v>
      </c>
      <c r="T26" s="1" t="n">
        <v>48</v>
      </c>
      <c r="U26" s="1" t="n">
        <v>48</v>
      </c>
      <c r="V26" s="1" t="n">
        <v>48</v>
      </c>
      <c r="W26" s="1" t="n">
        <v>48</v>
      </c>
      <c r="X26" s="1" t="n">
        <v>48</v>
      </c>
      <c r="Y26" s="1" t="n">
        <v>48</v>
      </c>
    </row>
    <row r="27" customFormat="false" ht="14.25" hidden="false" customHeight="true" outlineLevel="0" collapsed="false">
      <c r="A27" s="1" t="s">
        <v>50</v>
      </c>
      <c r="B27" s="1" t="n">
        <f aca="false">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</f>
        <v>15</v>
      </c>
      <c r="C27" s="1" t="n">
        <f aca="false">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</f>
        <v>34</v>
      </c>
      <c r="D27" s="1" t="n">
        <f aca="false">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</f>
        <v>49</v>
      </c>
      <c r="E27" s="1" t="n">
        <f aca="false">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</f>
        <v>49</v>
      </c>
      <c r="F27" s="1" t="n">
        <f aca="false">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</f>
        <v>49</v>
      </c>
      <c r="G27" s="1" t="n">
        <f aca="false">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</f>
        <v>49</v>
      </c>
      <c r="H27" s="1" t="n">
        <f aca="false">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</f>
        <v>49</v>
      </c>
      <c r="I27" s="1" t="n">
        <f aca="false">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</f>
        <v>49</v>
      </c>
      <c r="J27" s="1" t="n">
        <f aca="false">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</f>
        <v>49</v>
      </c>
      <c r="K27" s="1" t="n">
        <f aca="false">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</f>
        <v>49</v>
      </c>
      <c r="L27" s="1" t="n">
        <f aca="false">IFERROR(IFERROR(IFERROR(IFERROR(IFERROR(IFERROR(IFERROR(IFERROR(IFERROR(IFERROR(IFERROR(IFERROR(IF('Race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Results'!$R$11="Yes"),1,0),0),0)+IFERROR(IF('Race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Results'!$R$12="Yes"),1,0),0),0)</f>
        <v>49</v>
      </c>
      <c r="M27" s="1" t="n">
        <f aca="false">IFERROR(IFERROR(IFERROR(IFERROR(IFERROR(IFERROR(IFERROR(IFERROR(IFERROR(IFERROR(IFERROR(IFERROR(IFERROR(IF('Race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Results'!$R$11="Yes"),1,0),0),0)+IFERROR(IF('Race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Results'!$R$12="Yes"),1,0),0),0)+IFERROR(IF('Race Results'!$E$13=A4,25,0)+IF('Race Results'!$G$13=A4,18,0)+IF('Race Results'!$H$13=A4,15,0)+IF('Race Results'!$I$13=A4,12,0)+IF('Race Results'!$J$13=A4,10,0)+IF('Race Results'!$K$13=A4,8,0)+IF('Race Results'!$L$13=A4,6,0)+IF('Race Results'!$M$13=A4,4,0)+IF('Race Results'!$N$13=A4,2,0)+IF('Race Results'!$O$13=A4,1,0)+IF(AND('Race Results'!$Q$13=A4,'Race Results'!$R$13="Yes"),1,0)+IF('Sprint Results'!$E$5=A4,8,0)+IF('Sprint Results'!$F$5=A4,7,0)+IF('Sprint Results'!$G$5=A4,6,0)+IF('Sprint Results'!$H$5=A4,5,0)+IF('Sprint Results'!$I$5=A4,4,0)+IF('Sprint Results'!$J$5=A4,3,0)+IF('Sprint Results'!$K$5=A4,2,0)+IF('Sprint Results'!$L$5=A4,1,0),0),0)</f>
        <v>49</v>
      </c>
      <c r="N27" s="1" t="n">
        <f aca="false">IFERROR(IFERROR(IFERROR(IFERROR(IFERROR(IFERROR(IFERROR(IFERROR(IFERROR(IFERROR(IFERROR(IFERROR(IFERROR(IFERROR(IF('Race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Results'!$R$11="Yes"),1,0),0),0)+IFERROR(IF('Race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Results'!$R$12="Yes"),1,0),0),0)+IFERROR(IF('Race Results'!$E$13=A4,25,0)+IF('Race Results'!$G$13=A4,18,0)+IF('Race Results'!$H$13=A4,15,0)+IF('Race Results'!$I$13=A4,12,0)+IF('Race Results'!$J$13=A4,10,0)+IF('Race Results'!$K$13=A4,8,0)+IF('Race Results'!$L$13=A4,6,0)+IF('Race Results'!$M$13=A4,4,0)+IF('Race Results'!$N$13=A4,2,0)+IF('Race Results'!$O$13=A4,1,0)+IF(AND('Race Results'!$Q$13=A4,'Race Results'!$R$13="Yes"),1,0)+IF('Sprint Results'!$E$5=A4,8,0)+IF('Sprint Results'!$F$5=A4,7,0)+IF('Sprint Results'!$G$5=A4,6,0)+IF('Sprint Results'!$H$5=A4,5,0)+IF('Sprint Results'!$I$5=A4,4,0)+IF('Sprint Results'!$J$5=A4,3,0)+IF('Sprint Results'!$K$5=A4,2,0)+IF('Sprint Results'!$L$5=A4,1,0),0),0)+IFERROR(IF('Race Results'!$E$14=A4,25,0)+IF('Race Results'!$G$14=A4,18,0)+IF('Race Results'!$H$14=A4,15,0)+IF('Race Results'!$I$14=A4,12,0)+IF('Race Results'!$J$14=A4,10,0)+IF('Race Results'!$K$14=A4,8,0)+IF('Race Results'!$L$14=A4,6,0)+IF('Race Results'!$M$14=A4,4,0)+IF('Race Results'!$N$14=A4,2,0)+IF('Race Results'!$O$14=A4,1,0)+IF(AND('Race Results'!$Q$14=A4,'Race Results'!$R$14="Yes"),1,0),0),0)</f>
        <v>49</v>
      </c>
      <c r="O27" s="1" t="n">
        <f aca="false">IFERROR(IFERROR(IFERROR(IFERROR(IFERROR(IFERROR(IFERROR(IFERROR(IFERROR(IFERROR(IFERROR(IFERROR(IFERROR(IFERROR(IFERROR(IF('Race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Results'!$R$11="Yes"),1,0),0),0)+IFERROR(IF('Race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Results'!$R$12="Yes"),1,0),0),0)+IFERROR(IF('Race Results'!$E$13=A4,25,0)+IF('Race Results'!$G$13=A4,18,0)+IF('Race Results'!$H$13=A4,15,0)+IF('Race Results'!$I$13=A4,12,0)+IF('Race Results'!$J$13=A4,10,0)+IF('Race Results'!$K$13=A4,8,0)+IF('Race Results'!$L$13=A4,6,0)+IF('Race Results'!$M$13=A4,4,0)+IF('Race Results'!$N$13=A4,2,0)+IF('Race Results'!$O$13=A4,1,0)+IF(AND('Race Results'!$Q$13=A4,'Race Results'!$R$13="Yes"),1,0)+IF('Sprint Results'!$E$5=A4,8,0)+IF('Sprint Results'!$F$5=A4,7,0)+IF('Sprint Results'!$G$5=A4,6,0)+IF('Sprint Results'!$H$5=A4,5,0)+IF('Sprint Results'!$I$5=A4,4,0)+IF('Sprint Results'!$J$5=A4,3,0)+IF('Sprint Results'!$K$5=A4,2,0)+IF('Sprint Results'!$L$5=A4,1,0),0),0)+IFERROR(IF('Race Results'!$E$14=A4,25,0)+IF('Race Results'!$G$14=A4,18,0)+IF('Race Results'!$H$14=A4,15,0)+IF('Race Results'!$I$14=A4,12,0)+IF('Race Results'!$J$14=A4,10,0)+IF('Race Results'!$K$14=A4,8,0)+IF('Race Results'!$L$14=A4,6,0)+IF('Race Results'!$M$14=A4,4,0)+IF('Race Results'!$N$14=A4,2,0)+IF('Race Results'!$O$14=A4,1,0)+IF(AND('Race Results'!$Q$14=A4,'Race Results'!$R$14="Yes"),1,0),0),0)+IFERROR(IF('Race Results'!$E$15=A4,25,0)+IF('Race Results'!$G$15=A4,18,0)+IF('Race Results'!$H$15=A4,15,0)+IF('Race Results'!$I$15=A4,12,0)+IF('Race Results'!$J$15=A4,10,0)+IF('Race Results'!$K$15=A4,8,0)+IF('Race Results'!$L$15=A4,6,0)+IF('Race Results'!$M$15=A4,4,0)+IF('Race Results'!$N$15=A4,2,0)+IF('Race Results'!$O$15=A4,1,0)+IF(AND('Race Results'!$Q$15=A4,'Race Results'!$R$15="Yes"),1,0),0),0)</f>
        <v>49</v>
      </c>
      <c r="P27" s="1" t="n">
        <f aca="false">IFERROR(IFERROR(IFERROR(IFERROR(IFERROR(IFERROR(IFERROR(IFERROR(IFERROR(IFERROR(IFERROR(IFERROR(IFERROR(IFERROR(IFERROR(IFERROR(IF('Race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Results'!$R$11="Yes"),1,0),0),0)+IFERROR(IF('Race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Results'!$R$12="Yes"),1,0),0),0)+IFERROR(IF('Race Results'!$E$13=A4,25,0)+IF('Race Results'!$G$13=A4,18,0)+IF('Race Results'!$H$13=A4,15,0)+IF('Race Results'!$I$13=A4,12,0)+IF('Race Results'!$J$13=A4,10,0)+IF('Race Results'!$K$13=A4,8,0)+IF('Race Results'!$L$13=A4,6,0)+IF('Race Results'!$M$13=A4,4,0)+IF('Race Results'!$N$13=A4,2,0)+IF('Race Results'!$O$13=A4,1,0)+IF(AND('Race Results'!$Q$13=A4,'Race Results'!$R$13="Yes"),1,0)+IF('Sprint Results'!$E$5=A4,8,0)+IF('Sprint Results'!$F$5=A4,7,0)+IF('Sprint Results'!$G$5=A4,6,0)+IF('Sprint Results'!$H$5=A4,5,0)+IF('Sprint Results'!$I$5=A4,4,0)+IF('Sprint Results'!$J$5=A4,3,0)+IF('Sprint Results'!$K$5=A4,2,0)+IF('Sprint Results'!$L$5=A4,1,0),0),0)+IFERROR(IF('Race Results'!$E$14=A4,25,0)+IF('Race Results'!$G$14=A4,18,0)+IF('Race Results'!$H$14=A4,15,0)+IF('Race Results'!$I$14=A4,12,0)+IF('Race Results'!$J$14=A4,10,0)+IF('Race Results'!$K$14=A4,8,0)+IF('Race Results'!$L$14=A4,6,0)+IF('Race Results'!$M$14=A4,4,0)+IF('Race Results'!$N$14=A4,2,0)+IF('Race Results'!$O$14=A4,1,0)+IF(AND('Race Results'!$Q$14=A4,'Race Results'!$R$14="Yes"),1,0),0),0)+IFERROR(IF('Race Results'!$E$15=A4,25,0)+IF('Race Results'!$G$15=A4,18,0)+IF('Race Results'!$H$15=A4,15,0)+IF('Race Results'!$I$15=A4,12,0)+IF('Race Results'!$J$15=A4,10,0)+IF('Race Results'!$K$15=A4,8,0)+IF('Race Results'!$L$15=A4,6,0)+IF('Race Results'!$M$15=A4,4,0)+IF('Race Results'!$N$15=A4,2,0)+IF('Race Results'!$O$15=A4,1,0)+IF(AND('Race Results'!$Q$15=A4,'Race Results'!$R$15="Yes"),1,0),0),0)+IFERROR(IF('Race Results'!$E$16=A4,25,0)+IF('Race Results'!$G$16=A4,18,0)+IF('Race Results'!$H$16=A4,15,0)+IF('Race Results'!$I$16=A4,12,0)+IF('Race Results'!$J$16=A4,10,0)+IF('Race Results'!$K$16=A4,8,0)+IF('Race Results'!$L$16=A4,6,0)+IF('Race Results'!$M$16=A4,4,0)+IF('Race Results'!$N$16=A4,2,0)+IF('Race Results'!$O$16=A4,1,0)+IF(AND('Race Results'!$Q$16=A4,'Race Results'!$R$16="Yes"),1,0)+IF('Sprint Results'!$E$6=A4,8,0)+IF('Sprint Results'!$F$6=A4,7,0)+IF('Sprint Results'!$G$6=A4,6,0)+IF('Sprint Results'!$H$6=A4,5,0)+IF('Sprint Results'!$I$6=A4,4,0)+IF('Sprint Results'!$J$6=A4,3,0)+IF('Sprint Results'!$K$6=A4,2,0)+IF('Sprint Results'!$L$6=A4,1,0),0),0)</f>
        <v>49</v>
      </c>
      <c r="Q27" s="1" t="n">
        <f aca="false">IFERROR(IFERROR(IFERROR(IFERROR(IFERROR(IFERROR(IFERROR(IFERROR(IFERROR(IFERROR(IFERROR(IFERROR(IFERROR(IFERROR(IFERROR(IFERROR(IFERROR(IF('Race Results'!$E$2=A4,25,0)+IF('Race Results'!$G$2=A4,18,0)+IF('Race Results'!$H$2=A4,15,0)+IF('Race Results'!$I$2=A4,12,0)+IF('Race Results'!$J$2=A4,10,0)+IF('Race Results'!$K$2=A4,8,0)+IF('Race Results'!$L$2=A4,6,0)+IF('Race Results'!$M$2=A4,4,0)+IF('Race Results'!$N$2=A4,2,0)+IF('Race Results'!$O$2=A4,1,0)+IF(AND('Race Results'!$Q$2=A4,'Race Results'!$R$2="Yes"),1,0),0),0)+IFERROR(IF('Race Results'!$E$3=A4,25,0)+IF('Race Results'!$G$3=A4,18,0)+IF('Race Results'!$H$3=A4,15,0)+IF('Race Results'!$I$3=A4,12,0)+IF('Race Results'!$J$3=A4,10,0)+IF('Race Results'!$K$3=A4,8,0)+IF('Race Results'!$L$3=A4,6,0)+IF('Race Results'!$M$3=A4,4,0)+IF('Race Results'!$N$3=A4,2,0)+IF('Race Results'!$O$3=A4,1,0)+IF(AND('Race Results'!$Q$3=A4,'Race Results'!$R$3="Yes"),1,0)+IF('Sprint Results'!$E$2=A4,8,0)+IF('Sprint Results'!$F$2=A4,7,0)+IF('Sprint Results'!$G$2=A4,6,0)+IF('Sprint Results'!$H$2=A4,5,0)+IF('Sprint Results'!$I$2=A4,4,0)+IF('Sprint Results'!$J$2=A4,3,0)+IF('Sprint Results'!$K$2=A4,2,0)+IF('Sprint Results'!$L$2=A4,1,0),0),0)+IFERROR(IF('Race Results'!$E$4=A4,25,0)+IF('Race Results'!$G$4=A4,18,0)+IF('Race Results'!$H$4=A4,15,0)+IF('Race Results'!$I$4=A4,12,0)+IF('Race Results'!$J$4=A4,10,0)+IF('Race Results'!$K$4=A4,8,0)+IF('Race Results'!$L$4=A4,6,0)+IF('Race Results'!$M$4=A4,4,0)+IF('Race Results'!$N$4=A4,2,0)+IF('Race Results'!$O$4=A4,1,0)+IF(AND('Race Results'!$Q$4=A4,'Race Results'!$R$4="Yes"),1,0),0),0)+IFERROR(IF('Race Results'!$E$5=A4,25,0)+IF('Race Results'!$G$5=A4,18,0)+IF('Race Results'!$H$5=A4,15,0)+IF('Race Results'!$I$5=A4,12,0)+IF('Race Results'!$J$5=A4,10,0)+IF('Race Results'!$K$5=A4,8,0)+IF('Race Results'!$L$5=A4,6,0)+IF('Race Results'!$M$5=A4,4,0)+IF('Race Results'!$N$5=A4,2,0)+IF('Race Results'!$O$5=A4,1,0)+IF(AND('Race Results'!$Q$5=A4,'Race Results'!$R$5="Yes"),1,0),0),0)+IFERROR(IF('Race Results'!$E$6=A4,25,0)+IF('Race Results'!$G$6=A4,18,0)+IF('Race Results'!$H$6=A4,15,0)+IF('Race Results'!$I$6=A4,12,0)+IF('Race Results'!$J$6=A4,10,0)+IF('Race Results'!$K$6=A4,8,0)+IF('Race Results'!$L$6=A4,6,0)+IF('Race Results'!$M$6=A4,4,0)+IF('Race Results'!$N$6=A4,2,0)+IF('Race Results'!$O$6=A4,1,0)+IF(AND('Race Results'!$Q$6=A4,'Race Results'!$R$6="Yes"),1,0),0),0)+IFERROR(IF('Race Results'!$E$7=A4,25,0)+IF('Race Results'!$G$7=A4,18,0)+IF('Race Results'!$H$7=A4,15,0)+IF('Race Results'!$I$7=A4,12,0)+IF('Race Results'!$J$7=A4,10,0)+IF('Race Results'!$K$7=A4,8,0)+IF('Race Results'!$L$7=A4,6,0)+IF('Race Results'!$M$7=A4,4,0)+IF('Race Results'!$N$7=A4,2,0)+IF('Race Results'!$O$7=A4,1,0)+IF(AND('Race Results'!$Q$7=A4,'Race Results'!$R$7="Yes"),1,0)+IF('Sprint Results'!$E$3=A4,8,0)+IF('Sprint Results'!$F$3=A4,7,0)+IF('Sprint Results'!$G$3=A4,6,0)+IF('Sprint Results'!$H$3=A4,5,0)+IF('Sprint Results'!$I$3=A4,4,0)+IF('Sprint Results'!$J$3=A4,3,0)+IF('Sprint Results'!$K$3=A4,2,0)+IF('Sprint Results'!$L$3=A4,1,0),0),0)+IFERROR(IF('Race Results'!$E$8=A4,25,0)+IF('Race Results'!$G$8=A4,18,0)+IF('Race Results'!$H$8=A4,15,0)+IF('Race Results'!$I$8=A4,12,0)+IF('Race Results'!$J$8=A4,10,0)+IF('Race Results'!$K$8=A4,8,0)+IF('Race Results'!$L$8=A4,6,0)+IF('Race Results'!$M$8=A4,4,0)+IF('Race Results'!$N$8=A4,2,0)+IF('Race Results'!$O$8=A4,1,0)+IF(AND('Race Results'!$Q$8=A4,'Race Results'!$R$8="Yes"),1,0)+IF('Sprint Results'!$E$4=A4,8,0)+IF('Sprint Results'!$F$4=A4,7,0)+IF('Sprint Results'!$G$4=A4,6,0)+IF('Sprint Results'!$H$4=A4,5,0)+IF('Sprint Results'!$I$4=A4,4,0)+IF('Sprint Results'!$J$4=A4,3,0)+IF('Sprint Results'!$K$4=A4,2,0)+IF('Sprint Results'!$L$4=A4,1,0),0),0)+IFERROR(IF('Race Results'!$E$9=A4,25,0)+IF('Race Results'!$G$9=A4,18,0)+IF('Race Results'!$H$9=A4,15,0)+IF('Race Results'!$I$9=A4,12,0)+IF('Race Results'!$J$9=A4,10,0)+IF('Race Results'!$K$9=A4,8,0)+IF('Race Results'!$L$9=A4,6,0)+IF('Race Results'!$M$9=A4,4,0)+IF('Race Results'!$N$9=A4,2,0)+IF('Race Results'!$O$9=A4,1,0)+IF(AND('Race Results'!$Q$9=A4,'Race Results'!$R$9="Yes"),1,0),0),0)+IFERROR(IF('Race Results'!$E$10=A4,25,0)+IF('Race Results'!$G$10=A4,18,0)+IF('Race Results'!$H$10=A4,15,0)+IF('Race Results'!$I$10=A4,12,0)+IF('Race Results'!$J$10=A4,10,0)+IF('Race Results'!$K$10=A4,8,0)+IF('Race Results'!$L$10=A4,6,0)+IF('Race Results'!$M$10=A4,4,0)+IF('Race Results'!$N$10=A4,2,0)+IF('Race Results'!$O$10=A4,1,0)+IF(AND('Race Results'!$Q$10=A4,'Race Results'!$R$10="Yes"),1,0),0),0)+IFERROR(IF('Race Results'!$E$11=A4,25,0)+IF('Race Results'!$G$11=A4,18,0)+IF('Race Results'!$H$11=A4,15,0)+IF('Race Results'!$I$11=A4,12,0)+IF('Race Results'!$J$11=A4,10,0)+IF('Race Results'!$K$11=A4,8,0)+IF('Race Results'!$L$11=A4,6,0)+IF('Race Results'!$M$11=A4,4,0)+IF('Race Results'!$N$11=A4,2,0)+IF('Race Results'!$O$11=A4,1,0)+IF(AND('Race Results'!$Q$11=A4,'Race Results'!$R$11="Yes"),1,0),0),0)+IFERROR(IF('Race Results'!$E$12=A4,25,0)+IF('Race Results'!$G$12=A4,18,0)+IF('Race Results'!$H$12=A4,15,0)+IF('Race Results'!$I$12=A4,12,0)+IF('Race Results'!$J$12=A4,10,0)+IF('Race Results'!$K$12=A4,8,0)+IF('Race Results'!$L$12=A4,6,0)+IF('Race Results'!$M$12=A4,4,0)+IF('Race Results'!$N$12=A4,2,0)+IF('Race Results'!$O$12=A4,1,0)+IF(AND('Race Results'!$Q$12=A4,'Race Results'!$R$12="Yes"),1,0),0),0)+IFERROR(IF('Race Results'!$E$13=A4,25,0)+IF('Race Results'!$G$13=A4,18,0)+IF('Race Results'!$H$13=A4,15,0)+IF('Race Results'!$I$13=A4,12,0)+IF('Race Results'!$J$13=A4,10,0)+IF('Race Results'!$K$13=A4,8,0)+IF('Race Results'!$L$13=A4,6,0)+IF('Race Results'!$M$13=A4,4,0)+IF('Race Results'!$N$13=A4,2,0)+IF('Race Results'!$O$13=A4,1,0)+IF(AND('Race Results'!$Q$13=A4,'Race Results'!$R$13="Yes"),1,0)+IF('Sprint Results'!$E$5=A4,8,0)+IF('Sprint Results'!$F$5=A4,7,0)+IF('Sprint Results'!$G$5=A4,6,0)+IF('Sprint Results'!$H$5=A4,5,0)+IF('Sprint Results'!$I$5=A4,4,0)+IF('Sprint Results'!$J$5=A4,3,0)+IF('Sprint Results'!$K$5=A4,2,0)+IF('Sprint Results'!$L$5=A4,1,0),0),0)+IFERROR(IF('Race Results'!$E$14=A4,25,0)+IF('Race Results'!$G$14=A4,18,0)+IF('Race Results'!$H$14=A4,15,0)+IF('Race Results'!$I$14=A4,12,0)+IF('Race Results'!$J$14=A4,10,0)+IF('Race Results'!$K$14=A4,8,0)+IF('Race Results'!$L$14=A4,6,0)+IF('Race Results'!$M$14=A4,4,0)+IF('Race Results'!$N$14=A4,2,0)+IF('Race Results'!$O$14=A4,1,0)+IF(AND('Race Results'!$Q$14=A4,'Race Results'!$R$14="Yes"),1,0),0),0)+IFERROR(IF('Race Results'!$E$15=A4,25,0)+IF('Race Results'!$G$15=A4,18,0)+IF('Race Results'!$H$15=A4,15,0)+IF('Race Results'!$I$15=A4,12,0)+IF('Race Results'!$J$15=A4,10,0)+IF('Race Results'!$K$15=A4,8,0)+IF('Race Results'!$L$15=A4,6,0)+IF('Race Results'!$M$15=A4,4,0)+IF('Race Results'!$N$15=A4,2,0)+IF('Race Results'!$O$15=A4,1,0)+IF(AND('Race Results'!$Q$15=A4,'Race Results'!$R$15="Yes"),1,0),0),0)+IFERROR(IF('Race Results'!$E$16=A4,25,0)+IF('Race Results'!$G$16=A4,18,0)+IF('Race Results'!$H$16=A4,15,0)+IF('Race Results'!$I$16=A4,12,0)+IF('Race Results'!$J$16=A4,10,0)+IF('Race Results'!$K$16=A4,8,0)+IF('Race Results'!$L$16=A4,6,0)+IF('Race Results'!$M$16=A4,4,0)+IF('Race Results'!$N$16=A4,2,0)+IF('Race Results'!$O$16=A4,1,0)+IF(AND('Race Results'!$Q$16=A4,'Race Results'!$R$16="Yes"),1,0)+IF('Sprint Results'!$E$6=A4,8,0)+IF('Sprint Results'!$F$6=A4,7,0)+IF('Sprint Results'!$G$6=A4,6,0)+IF('Sprint Results'!$H$6=A4,5,0)+IF('Sprint Results'!$I$6=A4,4,0)+IF('Sprint Results'!$J$6=A4,3,0)+IF('Sprint Results'!$K$6=A4,2,0)+IF('Sprint Results'!$L$6=A4,1,0),0),0)+IFERROR(IF('Race Results'!$E$17=A4,25,0)+IF('Race Results'!$G$17=A4,18,0)+IF('Race Results'!$H$17=A4,15,0)+IF('Race Results'!$I$17=A4,12,0)+IF('Race Results'!$J$17=A4,10,0)+IF('Race Results'!$K$17=A4,8,0)+IF('Race Results'!$L$17=A4,6,0)+IF('Race Results'!$M$17=A4,4,0)+IF('Race Results'!$N$17=A4,2,0)+IF('Race Results'!$O$17=A4,1,0)+IF(AND('Race Results'!$Q$17=A4,'Race Results'!$R$17="Yes"),1,0),0),0)</f>
        <v>49</v>
      </c>
      <c r="R27" s="1" t="n">
        <v>34</v>
      </c>
      <c r="S27" s="1" t="n">
        <v>34</v>
      </c>
      <c r="T27" s="1" t="n">
        <v>34</v>
      </c>
      <c r="U27" s="1" t="n">
        <v>34</v>
      </c>
      <c r="V27" s="1" t="n">
        <v>34</v>
      </c>
      <c r="W27" s="1" t="n">
        <v>34</v>
      </c>
      <c r="X27" s="1" t="n">
        <v>34</v>
      </c>
      <c r="Y27" s="1" t="n">
        <v>34</v>
      </c>
    </row>
    <row r="28" customFormat="false" ht="14.25" hidden="false" customHeight="true" outlineLevel="0" collapsed="false">
      <c r="A28" s="1" t="s">
        <v>51</v>
      </c>
      <c r="B28" s="1" t="n">
        <f aca="false">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</f>
        <v>12</v>
      </c>
      <c r="C28" s="1" t="n">
        <f aca="false">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</f>
        <v>33</v>
      </c>
      <c r="D28" s="1" t="n">
        <f aca="false">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</f>
        <v>41</v>
      </c>
      <c r="E28" s="1" t="n">
        <f aca="false">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</f>
        <v>41</v>
      </c>
      <c r="F28" s="1" t="n">
        <f aca="false">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</f>
        <v>41</v>
      </c>
      <c r="G28" s="1" t="n">
        <f aca="false">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</f>
        <v>41</v>
      </c>
      <c r="H28" s="1" t="n">
        <f aca="false">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</f>
        <v>41</v>
      </c>
      <c r="I28" s="1" t="n">
        <f aca="false">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</f>
        <v>41</v>
      </c>
      <c r="J28" s="1" t="n">
        <f aca="false">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</f>
        <v>41</v>
      </c>
      <c r="K28" s="1" t="n">
        <f aca="false">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</f>
        <v>41</v>
      </c>
      <c r="L28" s="1" t="n">
        <f aca="false">IFERROR(IFERROR(IFERROR(IFERROR(IFERROR(IFERROR(IFERROR(IFERROR(IFERROR(IFERROR(IFERROR(IFERROR(IF('Race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Results'!$R$11="Yes"),1,0),0),0)+IFERROR(IF('Race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Results'!$R$12="Yes"),1,0),0),0)</f>
        <v>41</v>
      </c>
      <c r="M28" s="1" t="n">
        <f aca="false">IFERROR(IFERROR(IFERROR(IFERROR(IFERROR(IFERROR(IFERROR(IFERROR(IFERROR(IFERROR(IFERROR(IFERROR(IFERROR(IF('Race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Results'!$R$11="Yes"),1,0),0),0)+IFERROR(IF('Race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Results'!$R$12="Yes"),1,0),0),0)+IFERROR(IF('Race Results'!$E$13=A5,25,0)+IF('Race Results'!$G$13=A5,18,0)+IF('Race Results'!$H$13=A5,15,0)+IF('Race Results'!$I$13=A5,12,0)+IF('Race Results'!$J$13=A5,10,0)+IF('Race Results'!$K$13=A5,8,0)+IF('Race Results'!$L$13=A5,6,0)+IF('Race Results'!$M$13=A5,4,0)+IF('Race Results'!$N$13=A5,2,0)+IF('Race Results'!$O$13=A5,1,0)+IF(AND('Race Results'!$Q$13=A5,'Race Results'!$R$13="Yes"),1,0)+IF('Sprint Results'!$E$5=A5,8,0)+IF('Sprint Results'!$F$5=A5,7,0)+IF('Sprint Results'!$G$5=A5,6,0)+IF('Sprint Results'!$H$5=A5,5,0)+IF('Sprint Results'!$I$5=A5,4,0)+IF('Sprint Results'!$J$5=A5,3,0)+IF('Sprint Results'!$K$5=A5,2,0)+IF('Sprint Results'!$L$5=A5,1,0),0),0)</f>
        <v>41</v>
      </c>
      <c r="N28" s="1" t="n">
        <f aca="false">IFERROR(IFERROR(IFERROR(IFERROR(IFERROR(IFERROR(IFERROR(IFERROR(IFERROR(IFERROR(IFERROR(IFERROR(IFERROR(IFERROR(IF('Race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Results'!$R$11="Yes"),1,0),0),0)+IFERROR(IF('Race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Results'!$R$12="Yes"),1,0),0),0)+IFERROR(IF('Race Results'!$E$13=A5,25,0)+IF('Race Results'!$G$13=A5,18,0)+IF('Race Results'!$H$13=A5,15,0)+IF('Race Results'!$I$13=A5,12,0)+IF('Race Results'!$J$13=A5,10,0)+IF('Race Results'!$K$13=A5,8,0)+IF('Race Results'!$L$13=A5,6,0)+IF('Race Results'!$M$13=A5,4,0)+IF('Race Results'!$N$13=A5,2,0)+IF('Race Results'!$O$13=A5,1,0)+IF(AND('Race Results'!$Q$13=A5,'Race Results'!$R$13="Yes"),1,0)+IF('Sprint Results'!$E$5=A5,8,0)+IF('Sprint Results'!$F$5=A5,7,0)+IF('Sprint Results'!$G$5=A5,6,0)+IF('Sprint Results'!$H$5=A5,5,0)+IF('Sprint Results'!$I$5=A5,4,0)+IF('Sprint Results'!$J$5=A5,3,0)+IF('Sprint Results'!$K$5=A5,2,0)+IF('Sprint Results'!$L$5=A5,1,0),0),0)+IFERROR(IF('Race Results'!$E$14=A5,25,0)+IF('Race Results'!$G$14=A5,18,0)+IF('Race Results'!$H$14=A5,15,0)+IF('Race Results'!$I$14=A5,12,0)+IF('Race Results'!$J$14=A5,10,0)+IF('Race Results'!$K$14=A5,8,0)+IF('Race Results'!$L$14=A5,6,0)+IF('Race Results'!$M$14=A5,4,0)+IF('Race Results'!$N$14=A5,2,0)+IF('Race Results'!$O$14=A5,1,0)+IF(AND('Race Results'!$Q$14=A5,'Race Results'!$R$14="Yes"),1,0),0),0)</f>
        <v>41</v>
      </c>
      <c r="O28" s="1" t="n">
        <f aca="false">IFERROR(IFERROR(IFERROR(IFERROR(IFERROR(IFERROR(IFERROR(IFERROR(IFERROR(IFERROR(IFERROR(IFERROR(IFERROR(IFERROR(IFERROR(IF('Race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Results'!$R$11="Yes"),1,0),0),0)+IFERROR(IF('Race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Results'!$R$12="Yes"),1,0),0),0)+IFERROR(IF('Race Results'!$E$13=A5,25,0)+IF('Race Results'!$G$13=A5,18,0)+IF('Race Results'!$H$13=A5,15,0)+IF('Race Results'!$I$13=A5,12,0)+IF('Race Results'!$J$13=A5,10,0)+IF('Race Results'!$K$13=A5,8,0)+IF('Race Results'!$L$13=A5,6,0)+IF('Race Results'!$M$13=A5,4,0)+IF('Race Results'!$N$13=A5,2,0)+IF('Race Results'!$O$13=A5,1,0)+IF(AND('Race Results'!$Q$13=A5,'Race Results'!$R$13="Yes"),1,0)+IF('Sprint Results'!$E$5=A5,8,0)+IF('Sprint Results'!$F$5=A5,7,0)+IF('Sprint Results'!$G$5=A5,6,0)+IF('Sprint Results'!$H$5=A5,5,0)+IF('Sprint Results'!$I$5=A5,4,0)+IF('Sprint Results'!$J$5=A5,3,0)+IF('Sprint Results'!$K$5=A5,2,0)+IF('Sprint Results'!$L$5=A5,1,0),0),0)+IFERROR(IF('Race Results'!$E$14=A5,25,0)+IF('Race Results'!$G$14=A5,18,0)+IF('Race Results'!$H$14=A5,15,0)+IF('Race Results'!$I$14=A5,12,0)+IF('Race Results'!$J$14=A5,10,0)+IF('Race Results'!$K$14=A5,8,0)+IF('Race Results'!$L$14=A5,6,0)+IF('Race Results'!$M$14=A5,4,0)+IF('Race Results'!$N$14=A5,2,0)+IF('Race Results'!$O$14=A5,1,0)+IF(AND('Race Results'!$Q$14=A5,'Race Results'!$R$14="Yes"),1,0),0),0)+IFERROR(IF('Race Results'!$E$15=A5,25,0)+IF('Race Results'!$G$15=A5,18,0)+IF('Race Results'!$H$15=A5,15,0)+IF('Race Results'!$I$15=A5,12,0)+IF('Race Results'!$J$15=A5,10,0)+IF('Race Results'!$K$15=A5,8,0)+IF('Race Results'!$L$15=A5,6,0)+IF('Race Results'!$M$15=A5,4,0)+IF('Race Results'!$N$15=A5,2,0)+IF('Race Results'!$O$15=A5,1,0)+IF(AND('Race Results'!$Q$15=A5,'Race Results'!$R$15="Yes"),1,0),0),0)</f>
        <v>41</v>
      </c>
      <c r="P28" s="1" t="n">
        <f aca="false">IFERROR(IFERROR(IFERROR(IFERROR(IFERROR(IFERROR(IFERROR(IFERROR(IFERROR(IFERROR(IFERROR(IFERROR(IFERROR(IFERROR(IFERROR(IFERROR(IF('Race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Results'!$R$11="Yes"),1,0),0),0)+IFERROR(IF('Race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Results'!$R$12="Yes"),1,0),0),0)+IFERROR(IF('Race Results'!$E$13=A5,25,0)+IF('Race Results'!$G$13=A5,18,0)+IF('Race Results'!$H$13=A5,15,0)+IF('Race Results'!$I$13=A5,12,0)+IF('Race Results'!$J$13=A5,10,0)+IF('Race Results'!$K$13=A5,8,0)+IF('Race Results'!$L$13=A5,6,0)+IF('Race Results'!$M$13=A5,4,0)+IF('Race Results'!$N$13=A5,2,0)+IF('Race Results'!$O$13=A5,1,0)+IF(AND('Race Results'!$Q$13=A5,'Race Results'!$R$13="Yes"),1,0)+IF('Sprint Results'!$E$5=A5,8,0)+IF('Sprint Results'!$F$5=A5,7,0)+IF('Sprint Results'!$G$5=A5,6,0)+IF('Sprint Results'!$H$5=A5,5,0)+IF('Sprint Results'!$I$5=A5,4,0)+IF('Sprint Results'!$J$5=A5,3,0)+IF('Sprint Results'!$K$5=A5,2,0)+IF('Sprint Results'!$L$5=A5,1,0),0),0)+IFERROR(IF('Race Results'!$E$14=A5,25,0)+IF('Race Results'!$G$14=A5,18,0)+IF('Race Results'!$H$14=A5,15,0)+IF('Race Results'!$I$14=A5,12,0)+IF('Race Results'!$J$14=A5,10,0)+IF('Race Results'!$K$14=A5,8,0)+IF('Race Results'!$L$14=A5,6,0)+IF('Race Results'!$M$14=A5,4,0)+IF('Race Results'!$N$14=A5,2,0)+IF('Race Results'!$O$14=A5,1,0)+IF(AND('Race Results'!$Q$14=A5,'Race Results'!$R$14="Yes"),1,0),0),0)+IFERROR(IF('Race Results'!$E$15=A5,25,0)+IF('Race Results'!$G$15=A5,18,0)+IF('Race Results'!$H$15=A5,15,0)+IF('Race Results'!$I$15=A5,12,0)+IF('Race Results'!$J$15=A5,10,0)+IF('Race Results'!$K$15=A5,8,0)+IF('Race Results'!$L$15=A5,6,0)+IF('Race Results'!$M$15=A5,4,0)+IF('Race Results'!$N$15=A5,2,0)+IF('Race Results'!$O$15=A5,1,0)+IF(AND('Race Results'!$Q$15=A5,'Race Results'!$R$15="Yes"),1,0),0),0)+IFERROR(IF('Race Results'!$E$16=A5,25,0)+IF('Race Results'!$G$16=A5,18,0)+IF('Race Results'!$H$16=A5,15,0)+IF('Race Results'!$I$16=A5,12,0)+IF('Race Results'!$J$16=A5,10,0)+IF('Race Results'!$K$16=A5,8,0)+IF('Race Results'!$L$16=A5,6,0)+IF('Race Results'!$M$16=A5,4,0)+IF('Race Results'!$N$16=A5,2,0)+IF('Race Results'!$O$16=A5,1,0)+IF(AND('Race Results'!$Q$16=A5,'Race Results'!$R$16="Yes"),1,0)+IF('Sprint Results'!$E$6=A5,8,0)+IF('Sprint Results'!$F$6=A5,7,0)+IF('Sprint Results'!$G$6=A5,6,0)+IF('Sprint Results'!$H$6=A5,5,0)+IF('Sprint Results'!$I$6=A5,4,0)+IF('Sprint Results'!$J$6=A5,3,0)+IF('Sprint Results'!$K$6=A5,2,0)+IF('Sprint Results'!$L$6=A5,1,0),0),0)</f>
        <v>41</v>
      </c>
      <c r="Q28" s="1" t="n">
        <f aca="false">IFERROR(IFERROR(IFERROR(IFERROR(IFERROR(IFERROR(IFERROR(IFERROR(IFERROR(IFERROR(IFERROR(IFERROR(IFERROR(IFERROR(IFERROR(IFERROR(IFERROR(IF('Race Results'!$E$2=A5,25,0)+IF('Race Results'!$G$2=A5,18,0)+IF('Race Results'!$H$2=A5,15,0)+IF('Race Results'!$I$2=A5,12,0)+IF('Race Results'!$J$2=A5,10,0)+IF('Race Results'!$K$2=A5,8,0)+IF('Race Results'!$L$2=A5,6,0)+IF('Race Results'!$M$2=A5,4,0)+IF('Race Results'!$N$2=A5,2,0)+IF('Race Results'!$O$2=A5,1,0)+IF(AND('Race Results'!$Q$2=A5,'Race Results'!$R$2="Yes"),1,0),0),0)+IFERROR(IF('Race Results'!$E$3=A5,25,0)+IF('Race Results'!$G$3=A5,18,0)+IF('Race Results'!$H$3=A5,15,0)+IF('Race Results'!$I$3=A5,12,0)+IF('Race Results'!$J$3=A5,10,0)+IF('Race Results'!$K$3=A5,8,0)+IF('Race Results'!$L$3=A5,6,0)+IF('Race Results'!$M$3=A5,4,0)+IF('Race Results'!$N$3=A5,2,0)+IF('Race Results'!$O$3=A5,1,0)+IF(AND('Race Results'!$Q$3=A5,'Race Results'!$R$3="Yes"),1,0)+IF('Sprint Results'!$E$2=A5,8,0)+IF('Sprint Results'!$F$2=A5,7,0)+IF('Sprint Results'!$G$2=A5,6,0)+IF('Sprint Results'!$H$2=A5,5,0)+IF('Sprint Results'!$I$2=A5,4,0)+IF('Sprint Results'!$J$2=A5,3,0)+IF('Sprint Results'!$K$2=A5,2,0)+IF('Sprint Results'!$L$2=A5,1,0),0),0)+IFERROR(IF('Race Results'!$E$4=A5,25,0)+IF('Race Results'!$G$4=A5,18,0)+IF('Race Results'!$H$4=A5,15,0)+IF('Race Results'!$I$4=A5,12,0)+IF('Race Results'!$J$4=A5,10,0)+IF('Race Results'!$K$4=A5,8,0)+IF('Race Results'!$L$4=A5,6,0)+IF('Race Results'!$M$4=A5,4,0)+IF('Race Results'!$N$4=A5,2,0)+IF('Race Results'!$O$4=A5,1,0)+IF(AND('Race Results'!$Q$4=A5,'Race Results'!$R$4="Yes"),1,0),0),0)+IFERROR(IF('Race Results'!$E$5=A5,25,0)+IF('Race Results'!$G$5=A5,18,0)+IF('Race Results'!$H$5=A5,15,0)+IF('Race Results'!$I$5=A5,12,0)+IF('Race Results'!$J$5=A5,10,0)+IF('Race Results'!$K$5=A5,8,0)+IF('Race Results'!$L$5=A5,6,0)+IF('Race Results'!$M$5=A5,4,0)+IF('Race Results'!$N$5=A5,2,0)+IF('Race Results'!$O$5=A5,1,0)+IF(AND('Race Results'!$Q$5=A5,'Race Results'!$R$5="Yes"),1,0),0),0)+IFERROR(IF('Race Results'!$E$6=A5,25,0)+IF('Race Results'!$G$6=A5,18,0)+IF('Race Results'!$H$6=A5,15,0)+IF('Race Results'!$I$6=A5,12,0)+IF('Race Results'!$J$6=A5,10,0)+IF('Race Results'!$K$6=A5,8,0)+IF('Race Results'!$L$6=A5,6,0)+IF('Race Results'!$M$6=A5,4,0)+IF('Race Results'!$N$6=A5,2,0)+IF('Race Results'!$O$6=A5,1,0)+IF(AND('Race Results'!$Q$6=A5,'Race Results'!$R$6="Yes"),1,0),0),0)+IFERROR(IF('Race Results'!$E$7=A5,25,0)+IF('Race Results'!$G$7=A5,18,0)+IF('Race Results'!$H$7=A5,15,0)+IF('Race Results'!$I$7=A5,12,0)+IF('Race Results'!$J$7=A5,10,0)+IF('Race Results'!$K$7=A5,8,0)+IF('Race Results'!$L$7=A5,6,0)+IF('Race Results'!$M$7=A5,4,0)+IF('Race Results'!$N$7=A5,2,0)+IF('Race Results'!$O$7=A5,1,0)+IF(AND('Race Results'!$Q$7=A5,'Race Results'!$R$7="Yes"),1,0)+IF('Sprint Results'!$E$3=A5,8,0)+IF('Sprint Results'!$F$3=A5,7,0)+IF('Sprint Results'!$G$3=A5,6,0)+IF('Sprint Results'!$H$3=A5,5,0)+IF('Sprint Results'!$I$3=A5,4,0)+IF('Sprint Results'!$J$3=A5,3,0)+IF('Sprint Results'!$K$3=A5,2,0)+IF('Sprint Results'!$L$3=A5,1,0),0),0)+IFERROR(IF('Race Results'!$E$8=A5,25,0)+IF('Race Results'!$G$8=A5,18,0)+IF('Race Results'!$H$8=A5,15,0)+IF('Race Results'!$I$8=A5,12,0)+IF('Race Results'!$J$8=A5,10,0)+IF('Race Results'!$K$8=A5,8,0)+IF('Race Results'!$L$8=A5,6,0)+IF('Race Results'!$M$8=A5,4,0)+IF('Race Results'!$N$8=A5,2,0)+IF('Race Results'!$O$8=A5,1,0)+IF(AND('Race Results'!$Q$8=A5,'Race Results'!$R$8="Yes"),1,0)+IF('Sprint Results'!$E$4=A5,8,0)+IF('Sprint Results'!$F$4=A5,7,0)+IF('Sprint Results'!$G$4=A5,6,0)+IF('Sprint Results'!$H$4=A5,5,0)+IF('Sprint Results'!$I$4=A5,4,0)+IF('Sprint Results'!$J$4=A5,3,0)+IF('Sprint Results'!$K$4=A5,2,0)+IF('Sprint Results'!$L$4=A5,1,0),0),0)+IFERROR(IF('Race Results'!$E$9=A5,25,0)+IF('Race Results'!$G$9=A5,18,0)+IF('Race Results'!$H$9=A5,15,0)+IF('Race Results'!$I$9=A5,12,0)+IF('Race Results'!$J$9=A5,10,0)+IF('Race Results'!$K$9=A5,8,0)+IF('Race Results'!$L$9=A5,6,0)+IF('Race Results'!$M$9=A5,4,0)+IF('Race Results'!$N$9=A5,2,0)+IF('Race Results'!$O$9=A5,1,0)+IF(AND('Race Results'!$Q$9=A5,'Race Results'!$R$9="Yes"),1,0),0),0)+IFERROR(IF('Race Results'!$E$10=A5,25,0)+IF('Race Results'!$G$10=A5,18,0)+IF('Race Results'!$H$10=A5,15,0)+IF('Race Results'!$I$10=A5,12,0)+IF('Race Results'!$J$10=A5,10,0)+IF('Race Results'!$K$10=A5,8,0)+IF('Race Results'!$L$10=A5,6,0)+IF('Race Results'!$M$10=A5,4,0)+IF('Race Results'!$N$10=A5,2,0)+IF('Race Results'!$O$10=A5,1,0)+IF(AND('Race Results'!$Q$10=A5,'Race Results'!$R$10="Yes"),1,0),0),0)+IFERROR(IF('Race Results'!$E$11=A5,25,0)+IF('Race Results'!$G$11=A5,18,0)+IF('Race Results'!$H$11=A5,15,0)+IF('Race Results'!$I$11=A5,12,0)+IF('Race Results'!$J$11=A5,10,0)+IF('Race Results'!$K$11=A5,8,0)+IF('Race Results'!$L$11=A5,6,0)+IF('Race Results'!$M$11=A5,4,0)+IF('Race Results'!$N$11=A5,2,0)+IF('Race Results'!$O$11=A5,1,0)+IF(AND('Race Results'!$Q$11=A5,'Race Results'!$R$11="Yes"),1,0),0),0)+IFERROR(IF('Race Results'!$E$12=A5,25,0)+IF('Race Results'!$G$12=A5,18,0)+IF('Race Results'!$H$12=A5,15,0)+IF('Race Results'!$I$12=A5,12,0)+IF('Race Results'!$J$12=A5,10,0)+IF('Race Results'!$K$12=A5,8,0)+IF('Race Results'!$L$12=A5,6,0)+IF('Race Results'!$M$12=A5,4,0)+IF('Race Results'!$N$12=A5,2,0)+IF('Race Results'!$O$12=A5,1,0)+IF(AND('Race Results'!$Q$12=A5,'Race Results'!$R$12="Yes"),1,0),0),0)+IFERROR(IF('Race Results'!$E$13=A5,25,0)+IF('Race Results'!$G$13=A5,18,0)+IF('Race Results'!$H$13=A5,15,0)+IF('Race Results'!$I$13=A5,12,0)+IF('Race Results'!$J$13=A5,10,0)+IF('Race Results'!$K$13=A5,8,0)+IF('Race Results'!$L$13=A5,6,0)+IF('Race Results'!$M$13=A5,4,0)+IF('Race Results'!$N$13=A5,2,0)+IF('Race Results'!$O$13=A5,1,0)+IF(AND('Race Results'!$Q$13=A5,'Race Results'!$R$13="Yes"),1,0)+IF('Sprint Results'!$E$5=A5,8,0)+IF('Sprint Results'!$F$5=A5,7,0)+IF('Sprint Results'!$G$5=A5,6,0)+IF('Sprint Results'!$H$5=A5,5,0)+IF('Sprint Results'!$I$5=A5,4,0)+IF('Sprint Results'!$J$5=A5,3,0)+IF('Sprint Results'!$K$5=A5,2,0)+IF('Sprint Results'!$L$5=A5,1,0),0),0)+IFERROR(IF('Race Results'!$E$14=A5,25,0)+IF('Race Results'!$G$14=A5,18,0)+IF('Race Results'!$H$14=A5,15,0)+IF('Race Results'!$I$14=A5,12,0)+IF('Race Results'!$J$14=A5,10,0)+IF('Race Results'!$K$14=A5,8,0)+IF('Race Results'!$L$14=A5,6,0)+IF('Race Results'!$M$14=A5,4,0)+IF('Race Results'!$N$14=A5,2,0)+IF('Race Results'!$O$14=A5,1,0)+IF(AND('Race Results'!$Q$14=A5,'Race Results'!$R$14="Yes"),1,0),0),0)+IFERROR(IF('Race Results'!$E$15=A5,25,0)+IF('Race Results'!$G$15=A5,18,0)+IF('Race Results'!$H$15=A5,15,0)+IF('Race Results'!$I$15=A5,12,0)+IF('Race Results'!$J$15=A5,10,0)+IF('Race Results'!$K$15=A5,8,0)+IF('Race Results'!$L$15=A5,6,0)+IF('Race Results'!$M$15=A5,4,0)+IF('Race Results'!$N$15=A5,2,0)+IF('Race Results'!$O$15=A5,1,0)+IF(AND('Race Results'!$Q$15=A5,'Race Results'!$R$15="Yes"),1,0),0),0)+IFERROR(IF('Race Results'!$E$16=A5,25,0)+IF('Race Results'!$G$16=A5,18,0)+IF('Race Results'!$H$16=A5,15,0)+IF('Race Results'!$I$16=A5,12,0)+IF('Race Results'!$J$16=A5,10,0)+IF('Race Results'!$K$16=A5,8,0)+IF('Race Results'!$L$16=A5,6,0)+IF('Race Results'!$M$16=A5,4,0)+IF('Race Results'!$N$16=A5,2,0)+IF('Race Results'!$O$16=A5,1,0)+IF(AND('Race Results'!$Q$16=A5,'Race Results'!$R$16="Yes"),1,0)+IF('Sprint Results'!$E$6=A5,8,0)+IF('Sprint Results'!$F$6=A5,7,0)+IF('Sprint Results'!$G$6=A5,6,0)+IF('Sprint Results'!$H$6=A5,5,0)+IF('Sprint Results'!$I$6=A5,4,0)+IF('Sprint Results'!$J$6=A5,3,0)+IF('Sprint Results'!$K$6=A5,2,0)+IF('Sprint Results'!$L$6=A5,1,0),0),0)+IFERROR(IF('Race Results'!$E$17=A5,25,0)+IF('Race Results'!$G$17=A5,18,0)+IF('Race Results'!$H$17=A5,15,0)+IF('Race Results'!$I$17=A5,12,0)+IF('Race Results'!$J$17=A5,10,0)+IF('Race Results'!$K$17=A5,8,0)+IF('Race Results'!$L$17=A5,6,0)+IF('Race Results'!$M$17=A5,4,0)+IF('Race Results'!$N$17=A5,2,0)+IF('Race Results'!$O$17=A5,1,0)+IF(AND('Race Results'!$Q$17=A5,'Race Results'!$R$17="Yes"),1,0),0),0)</f>
        <v>41</v>
      </c>
      <c r="R28" s="1" t="n">
        <v>33</v>
      </c>
      <c r="S28" s="1" t="n">
        <v>33</v>
      </c>
      <c r="T28" s="1" t="n">
        <v>33</v>
      </c>
      <c r="U28" s="1" t="n">
        <v>33</v>
      </c>
      <c r="V28" s="1" t="n">
        <v>33</v>
      </c>
      <c r="W28" s="1" t="n">
        <v>33</v>
      </c>
      <c r="X28" s="1" t="n">
        <v>33</v>
      </c>
      <c r="Y28" s="1" t="n">
        <v>33</v>
      </c>
    </row>
    <row r="29" customFormat="false" ht="14.25" hidden="false" customHeight="true" outlineLevel="0" collapsed="false">
      <c r="A29" s="1" t="s">
        <v>54</v>
      </c>
      <c r="B29" s="1" t="n">
        <f aca="false">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</f>
        <v>6</v>
      </c>
      <c r="C29" s="1" t="n">
        <f aca="false">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</f>
        <v>17</v>
      </c>
      <c r="D29" s="1" t="n">
        <f aca="false">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</f>
        <v>17</v>
      </c>
      <c r="E29" s="1" t="n">
        <f aca="false">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</f>
        <v>17</v>
      </c>
      <c r="F29" s="1" t="n">
        <f aca="false">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</f>
        <v>17</v>
      </c>
      <c r="G29" s="1" t="n">
        <f aca="false">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</f>
        <v>17</v>
      </c>
      <c r="H29" s="1" t="n">
        <f aca="false">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</f>
        <v>17</v>
      </c>
      <c r="I29" s="1" t="n">
        <f aca="false">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</f>
        <v>17</v>
      </c>
      <c r="J29" s="1" t="n">
        <f aca="false">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</f>
        <v>17</v>
      </c>
      <c r="K29" s="1" t="n">
        <f aca="false">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</f>
        <v>17</v>
      </c>
      <c r="L29" s="1" t="n">
        <f aca="false">IFERROR(IFERROR(IFERROR(IFERROR(IFERROR(IFERROR(IFERROR(IFERROR(IFERROR(IFERROR(IFERROR(IFERROR(IF('Race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Results'!$R$11="Yes"),1,0),0),0)+IFERROR(IF('Race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Results'!$R$12="Yes"),1,0),0),0)</f>
        <v>17</v>
      </c>
      <c r="M29" s="1" t="n">
        <f aca="false">IFERROR(IFERROR(IFERROR(IFERROR(IFERROR(IFERROR(IFERROR(IFERROR(IFERROR(IFERROR(IFERROR(IFERROR(IFERROR(IF('Race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Results'!$R$11="Yes"),1,0),0),0)+IFERROR(IF('Race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Results'!$R$12="Yes"),1,0),0),0)+IFERROR(IF('Race Results'!$E$13=A6,25,0)+IF('Race Results'!$G$13=A6,18,0)+IF('Race Results'!$H$13=A6,15,0)+IF('Race Results'!$I$13=A6,12,0)+IF('Race Results'!$J$13=A6,10,0)+IF('Race Results'!$K$13=A6,8,0)+IF('Race Results'!$L$13=A6,6,0)+IF('Race Results'!$M$13=A6,4,0)+IF('Race Results'!$N$13=A6,2,0)+IF('Race Results'!$O$13=A6,1,0)+IF(AND('Race Results'!$Q$13=A6,'Race Results'!$R$13="Yes"),1,0)+IF('Sprint Results'!$E$5=A6,8,0)+IF('Sprint Results'!$F$5=A6,7,0)+IF('Sprint Results'!$G$5=A6,6,0)+IF('Sprint Results'!$H$5=A6,5,0)+IF('Sprint Results'!$I$5=A6,4,0)+IF('Sprint Results'!$J$5=A6,3,0)+IF('Sprint Results'!$K$5=A6,2,0)+IF('Sprint Results'!$L$5=A6,1,0),0),0)</f>
        <v>17</v>
      </c>
      <c r="N29" s="1" t="n">
        <f aca="false">IFERROR(IFERROR(IFERROR(IFERROR(IFERROR(IFERROR(IFERROR(IFERROR(IFERROR(IFERROR(IFERROR(IFERROR(IFERROR(IFERROR(IF('Race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Results'!$R$11="Yes"),1,0),0),0)+IFERROR(IF('Race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Results'!$R$12="Yes"),1,0),0),0)+IFERROR(IF('Race Results'!$E$13=A6,25,0)+IF('Race Results'!$G$13=A6,18,0)+IF('Race Results'!$H$13=A6,15,0)+IF('Race Results'!$I$13=A6,12,0)+IF('Race Results'!$J$13=A6,10,0)+IF('Race Results'!$K$13=A6,8,0)+IF('Race Results'!$L$13=A6,6,0)+IF('Race Results'!$M$13=A6,4,0)+IF('Race Results'!$N$13=A6,2,0)+IF('Race Results'!$O$13=A6,1,0)+IF(AND('Race Results'!$Q$13=A6,'Race Results'!$R$13="Yes"),1,0)+IF('Sprint Results'!$E$5=A6,8,0)+IF('Sprint Results'!$F$5=A6,7,0)+IF('Sprint Results'!$G$5=A6,6,0)+IF('Sprint Results'!$H$5=A6,5,0)+IF('Sprint Results'!$I$5=A6,4,0)+IF('Sprint Results'!$J$5=A6,3,0)+IF('Sprint Results'!$K$5=A6,2,0)+IF('Sprint Results'!$L$5=A6,1,0),0),0)+IFERROR(IF('Race Results'!$E$14=A6,25,0)+IF('Race Results'!$G$14=A6,18,0)+IF('Race Results'!$H$14=A6,15,0)+IF('Race Results'!$I$14=A6,12,0)+IF('Race Results'!$J$14=A6,10,0)+IF('Race Results'!$K$14=A6,8,0)+IF('Race Results'!$L$14=A6,6,0)+IF('Race Results'!$M$14=A6,4,0)+IF('Race Results'!$N$14=A6,2,0)+IF('Race Results'!$O$14=A6,1,0)+IF(AND('Race Results'!$Q$14=A6,'Race Results'!$R$14="Yes"),1,0),0),0)</f>
        <v>17</v>
      </c>
      <c r="O29" s="1" t="n">
        <f aca="false">IFERROR(IFERROR(IFERROR(IFERROR(IFERROR(IFERROR(IFERROR(IFERROR(IFERROR(IFERROR(IFERROR(IFERROR(IFERROR(IFERROR(IFERROR(IF('Race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Results'!$R$11="Yes"),1,0),0),0)+IFERROR(IF('Race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Results'!$R$12="Yes"),1,0),0),0)+IFERROR(IF('Race Results'!$E$13=A6,25,0)+IF('Race Results'!$G$13=A6,18,0)+IF('Race Results'!$H$13=A6,15,0)+IF('Race Results'!$I$13=A6,12,0)+IF('Race Results'!$J$13=A6,10,0)+IF('Race Results'!$K$13=A6,8,0)+IF('Race Results'!$L$13=A6,6,0)+IF('Race Results'!$M$13=A6,4,0)+IF('Race Results'!$N$13=A6,2,0)+IF('Race Results'!$O$13=A6,1,0)+IF(AND('Race Results'!$Q$13=A6,'Race Results'!$R$13="Yes"),1,0)+IF('Sprint Results'!$E$5=A6,8,0)+IF('Sprint Results'!$F$5=A6,7,0)+IF('Sprint Results'!$G$5=A6,6,0)+IF('Sprint Results'!$H$5=A6,5,0)+IF('Sprint Results'!$I$5=A6,4,0)+IF('Sprint Results'!$J$5=A6,3,0)+IF('Sprint Results'!$K$5=A6,2,0)+IF('Sprint Results'!$L$5=A6,1,0),0),0)+IFERROR(IF('Race Results'!$E$14=A6,25,0)+IF('Race Results'!$G$14=A6,18,0)+IF('Race Results'!$H$14=A6,15,0)+IF('Race Results'!$I$14=A6,12,0)+IF('Race Results'!$J$14=A6,10,0)+IF('Race Results'!$K$14=A6,8,0)+IF('Race Results'!$L$14=A6,6,0)+IF('Race Results'!$M$14=A6,4,0)+IF('Race Results'!$N$14=A6,2,0)+IF('Race Results'!$O$14=A6,1,0)+IF(AND('Race Results'!$Q$14=A6,'Race Results'!$R$14="Yes"),1,0),0),0)+IFERROR(IF('Race Results'!$E$15=A6,25,0)+IF('Race Results'!$G$15=A6,18,0)+IF('Race Results'!$H$15=A6,15,0)+IF('Race Results'!$I$15=A6,12,0)+IF('Race Results'!$J$15=A6,10,0)+IF('Race Results'!$K$15=A6,8,0)+IF('Race Results'!$L$15=A6,6,0)+IF('Race Results'!$M$15=A6,4,0)+IF('Race Results'!$N$15=A6,2,0)+IF('Race Results'!$O$15=A6,1,0)+IF(AND('Race Results'!$Q$15=A6,'Race Results'!$R$15="Yes"),1,0),0),0)</f>
        <v>17</v>
      </c>
      <c r="P29" s="1" t="n">
        <f aca="false">IFERROR(IFERROR(IFERROR(IFERROR(IFERROR(IFERROR(IFERROR(IFERROR(IFERROR(IFERROR(IFERROR(IFERROR(IFERROR(IFERROR(IFERROR(IFERROR(IF('Race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Results'!$R$11="Yes"),1,0),0),0)+IFERROR(IF('Race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Results'!$R$12="Yes"),1,0),0),0)+IFERROR(IF('Race Results'!$E$13=A6,25,0)+IF('Race Results'!$G$13=A6,18,0)+IF('Race Results'!$H$13=A6,15,0)+IF('Race Results'!$I$13=A6,12,0)+IF('Race Results'!$J$13=A6,10,0)+IF('Race Results'!$K$13=A6,8,0)+IF('Race Results'!$L$13=A6,6,0)+IF('Race Results'!$M$13=A6,4,0)+IF('Race Results'!$N$13=A6,2,0)+IF('Race Results'!$O$13=A6,1,0)+IF(AND('Race Results'!$Q$13=A6,'Race Results'!$R$13="Yes"),1,0)+IF('Sprint Results'!$E$5=A6,8,0)+IF('Sprint Results'!$F$5=A6,7,0)+IF('Sprint Results'!$G$5=A6,6,0)+IF('Sprint Results'!$H$5=A6,5,0)+IF('Sprint Results'!$I$5=A6,4,0)+IF('Sprint Results'!$J$5=A6,3,0)+IF('Sprint Results'!$K$5=A6,2,0)+IF('Sprint Results'!$L$5=A6,1,0),0),0)+IFERROR(IF('Race Results'!$E$14=A6,25,0)+IF('Race Results'!$G$14=A6,18,0)+IF('Race Results'!$H$14=A6,15,0)+IF('Race Results'!$I$14=A6,12,0)+IF('Race Results'!$J$14=A6,10,0)+IF('Race Results'!$K$14=A6,8,0)+IF('Race Results'!$L$14=A6,6,0)+IF('Race Results'!$M$14=A6,4,0)+IF('Race Results'!$N$14=A6,2,0)+IF('Race Results'!$O$14=A6,1,0)+IF(AND('Race Results'!$Q$14=A6,'Race Results'!$R$14="Yes"),1,0),0),0)+IFERROR(IF('Race Results'!$E$15=A6,25,0)+IF('Race Results'!$G$15=A6,18,0)+IF('Race Results'!$H$15=A6,15,0)+IF('Race Results'!$I$15=A6,12,0)+IF('Race Results'!$J$15=A6,10,0)+IF('Race Results'!$K$15=A6,8,0)+IF('Race Results'!$L$15=A6,6,0)+IF('Race Results'!$M$15=A6,4,0)+IF('Race Results'!$N$15=A6,2,0)+IF('Race Results'!$O$15=A6,1,0)+IF(AND('Race Results'!$Q$15=A6,'Race Results'!$R$15="Yes"),1,0),0),0)+IFERROR(IF('Race Results'!$E$16=A6,25,0)+IF('Race Results'!$G$16=A6,18,0)+IF('Race Results'!$H$16=A6,15,0)+IF('Race Results'!$I$16=A6,12,0)+IF('Race Results'!$J$16=A6,10,0)+IF('Race Results'!$K$16=A6,8,0)+IF('Race Results'!$L$16=A6,6,0)+IF('Race Results'!$M$16=A6,4,0)+IF('Race Results'!$N$16=A6,2,0)+IF('Race Results'!$O$16=A6,1,0)+IF(AND('Race Results'!$Q$16=A6,'Race Results'!$R$16="Yes"),1,0)+IF('Sprint Results'!$E$6=A6,8,0)+IF('Sprint Results'!$F$6=A6,7,0)+IF('Sprint Results'!$G$6=A6,6,0)+IF('Sprint Results'!$H$6=A6,5,0)+IF('Sprint Results'!$I$6=A6,4,0)+IF('Sprint Results'!$J$6=A6,3,0)+IF('Sprint Results'!$K$6=A6,2,0)+IF('Sprint Results'!$L$6=A6,1,0),0),0)</f>
        <v>17</v>
      </c>
      <c r="Q29" s="1" t="n">
        <f aca="false">IFERROR(IFERROR(IFERROR(IFERROR(IFERROR(IFERROR(IFERROR(IFERROR(IFERROR(IFERROR(IFERROR(IFERROR(IFERROR(IFERROR(IFERROR(IFERROR(IFERROR(IF('Race Results'!$E$2=A6,25,0)+IF('Race Results'!$G$2=A6,18,0)+IF('Race Results'!$H$2=A6,15,0)+IF('Race Results'!$I$2=A6,12,0)+IF('Race Results'!$J$2=A6,10,0)+IF('Race Results'!$K$2=A6,8,0)+IF('Race Results'!$L$2=A6,6,0)+IF('Race Results'!$M$2=A6,4,0)+IF('Race Results'!$N$2=A6,2,0)+IF('Race Results'!$O$2=A6,1,0)+IF(AND('Race Results'!$Q$2=A6,'Race Results'!$R$2="Yes"),1,0),0),0)+IFERROR(IF('Race Results'!$E$3=A6,25,0)+IF('Race Results'!$G$3=A6,18,0)+IF('Race Results'!$H$3=A6,15,0)+IF('Race Results'!$I$3=A6,12,0)+IF('Race Results'!$J$3=A6,10,0)+IF('Race Results'!$K$3=A6,8,0)+IF('Race Results'!$L$3=A6,6,0)+IF('Race Results'!$M$3=A6,4,0)+IF('Race Results'!$N$3=A6,2,0)+IF('Race Results'!$O$3=A6,1,0)+IF(AND('Race Results'!$Q$3=A6,'Race Results'!$R$3="Yes"),1,0)+IF('Sprint Results'!$E$2=A6,8,0)+IF('Sprint Results'!$F$2=A6,7,0)+IF('Sprint Results'!$G$2=A6,6,0)+IF('Sprint Results'!$H$2=A6,5,0)+IF('Sprint Results'!$I$2=A6,4,0)+IF('Sprint Results'!$J$2=A6,3,0)+IF('Sprint Results'!$K$2=A6,2,0)+IF('Sprint Results'!$L$2=A6,1,0),0),0)+IFERROR(IF('Race Results'!$E$4=A6,25,0)+IF('Race Results'!$G$4=A6,18,0)+IF('Race Results'!$H$4=A6,15,0)+IF('Race Results'!$I$4=A6,12,0)+IF('Race Results'!$J$4=A6,10,0)+IF('Race Results'!$K$4=A6,8,0)+IF('Race Results'!$L$4=A6,6,0)+IF('Race Results'!$M$4=A6,4,0)+IF('Race Results'!$N$4=A6,2,0)+IF('Race Results'!$O$4=A6,1,0)+IF(AND('Race Results'!$Q$4=A6,'Race Results'!$R$4="Yes"),1,0),0),0)+IFERROR(IF('Race Results'!$E$5=A6,25,0)+IF('Race Results'!$G$5=A6,18,0)+IF('Race Results'!$H$5=A6,15,0)+IF('Race Results'!$I$5=A6,12,0)+IF('Race Results'!$J$5=A6,10,0)+IF('Race Results'!$K$5=A6,8,0)+IF('Race Results'!$L$5=A6,6,0)+IF('Race Results'!$M$5=A6,4,0)+IF('Race Results'!$N$5=A6,2,0)+IF('Race Results'!$O$5=A6,1,0)+IF(AND('Race Results'!$Q$5=A6,'Race Results'!$R$5="Yes"),1,0),0),0)+IFERROR(IF('Race Results'!$E$6=A6,25,0)+IF('Race Results'!$G$6=A6,18,0)+IF('Race Results'!$H$6=A6,15,0)+IF('Race Results'!$I$6=A6,12,0)+IF('Race Results'!$J$6=A6,10,0)+IF('Race Results'!$K$6=A6,8,0)+IF('Race Results'!$L$6=A6,6,0)+IF('Race Results'!$M$6=A6,4,0)+IF('Race Results'!$N$6=A6,2,0)+IF('Race Results'!$O$6=A6,1,0)+IF(AND('Race Results'!$Q$6=A6,'Race Results'!$R$6="Yes"),1,0),0),0)+IFERROR(IF('Race Results'!$E$7=A6,25,0)+IF('Race Results'!$G$7=A6,18,0)+IF('Race Results'!$H$7=A6,15,0)+IF('Race Results'!$I$7=A6,12,0)+IF('Race Results'!$J$7=A6,10,0)+IF('Race Results'!$K$7=A6,8,0)+IF('Race Results'!$L$7=A6,6,0)+IF('Race Results'!$M$7=A6,4,0)+IF('Race Results'!$N$7=A6,2,0)+IF('Race Results'!$O$7=A6,1,0)+IF(AND('Race Results'!$Q$7=A6,'Race Results'!$R$7="Yes"),1,0)+IF('Sprint Results'!$E$3=A6,8,0)+IF('Sprint Results'!$F$3=A6,7,0)+IF('Sprint Results'!$G$3=A6,6,0)+IF('Sprint Results'!$H$3=A6,5,0)+IF('Sprint Results'!$I$3=A6,4,0)+IF('Sprint Results'!$J$3=A6,3,0)+IF('Sprint Results'!$K$3=A6,2,0)+IF('Sprint Results'!$L$3=A6,1,0),0),0)+IFERROR(IF('Race Results'!$E$8=A6,25,0)+IF('Race Results'!$G$8=A6,18,0)+IF('Race Results'!$H$8=A6,15,0)+IF('Race Results'!$I$8=A6,12,0)+IF('Race Results'!$J$8=A6,10,0)+IF('Race Results'!$K$8=A6,8,0)+IF('Race Results'!$L$8=A6,6,0)+IF('Race Results'!$M$8=A6,4,0)+IF('Race Results'!$N$8=A6,2,0)+IF('Race Results'!$O$8=A6,1,0)+IF(AND('Race Results'!$Q$8=A6,'Race Results'!$R$8="Yes"),1,0)+IF('Sprint Results'!$E$4=A6,8,0)+IF('Sprint Results'!$F$4=A6,7,0)+IF('Sprint Results'!$G$4=A6,6,0)+IF('Sprint Results'!$H$4=A6,5,0)+IF('Sprint Results'!$I$4=A6,4,0)+IF('Sprint Results'!$J$4=A6,3,0)+IF('Sprint Results'!$K$4=A6,2,0)+IF('Sprint Results'!$L$4=A6,1,0),0),0)+IFERROR(IF('Race Results'!$E$9=A6,25,0)+IF('Race Results'!$G$9=A6,18,0)+IF('Race Results'!$H$9=A6,15,0)+IF('Race Results'!$I$9=A6,12,0)+IF('Race Results'!$J$9=A6,10,0)+IF('Race Results'!$K$9=A6,8,0)+IF('Race Results'!$L$9=A6,6,0)+IF('Race Results'!$M$9=A6,4,0)+IF('Race Results'!$N$9=A6,2,0)+IF('Race Results'!$O$9=A6,1,0)+IF(AND('Race Results'!$Q$9=A6,'Race Results'!$R$9="Yes"),1,0),0),0)+IFERROR(IF('Race Results'!$E$10=A6,25,0)+IF('Race Results'!$G$10=A6,18,0)+IF('Race Results'!$H$10=A6,15,0)+IF('Race Results'!$I$10=A6,12,0)+IF('Race Results'!$J$10=A6,10,0)+IF('Race Results'!$K$10=A6,8,0)+IF('Race Results'!$L$10=A6,6,0)+IF('Race Results'!$M$10=A6,4,0)+IF('Race Results'!$N$10=A6,2,0)+IF('Race Results'!$O$10=A6,1,0)+IF(AND('Race Results'!$Q$10=A6,'Race Results'!$R$10="Yes"),1,0),0),0)+IFERROR(IF('Race Results'!$E$11=A6,25,0)+IF('Race Results'!$G$11=A6,18,0)+IF('Race Results'!$H$11=A6,15,0)+IF('Race Results'!$I$11=A6,12,0)+IF('Race Results'!$J$11=A6,10,0)+IF('Race Results'!$K$11=A6,8,0)+IF('Race Results'!$L$11=A6,6,0)+IF('Race Results'!$M$11=A6,4,0)+IF('Race Results'!$N$11=A6,2,0)+IF('Race Results'!$O$11=A6,1,0)+IF(AND('Race Results'!$Q$11=A6,'Race Results'!$R$11="Yes"),1,0),0),0)+IFERROR(IF('Race Results'!$E$12=A6,25,0)+IF('Race Results'!$G$12=A6,18,0)+IF('Race Results'!$H$12=A6,15,0)+IF('Race Results'!$I$12=A6,12,0)+IF('Race Results'!$J$12=A6,10,0)+IF('Race Results'!$K$12=A6,8,0)+IF('Race Results'!$L$12=A6,6,0)+IF('Race Results'!$M$12=A6,4,0)+IF('Race Results'!$N$12=A6,2,0)+IF('Race Results'!$O$12=A6,1,0)+IF(AND('Race Results'!$Q$12=A6,'Race Results'!$R$12="Yes"),1,0),0),0)+IFERROR(IF('Race Results'!$E$13=A6,25,0)+IF('Race Results'!$G$13=A6,18,0)+IF('Race Results'!$H$13=A6,15,0)+IF('Race Results'!$I$13=A6,12,0)+IF('Race Results'!$J$13=A6,10,0)+IF('Race Results'!$K$13=A6,8,0)+IF('Race Results'!$L$13=A6,6,0)+IF('Race Results'!$M$13=A6,4,0)+IF('Race Results'!$N$13=A6,2,0)+IF('Race Results'!$O$13=A6,1,0)+IF(AND('Race Results'!$Q$13=A6,'Race Results'!$R$13="Yes"),1,0)+IF('Sprint Results'!$E$5=A6,8,0)+IF('Sprint Results'!$F$5=A6,7,0)+IF('Sprint Results'!$G$5=A6,6,0)+IF('Sprint Results'!$H$5=A6,5,0)+IF('Sprint Results'!$I$5=A6,4,0)+IF('Sprint Results'!$J$5=A6,3,0)+IF('Sprint Results'!$K$5=A6,2,0)+IF('Sprint Results'!$L$5=A6,1,0),0),0)+IFERROR(IF('Race Results'!$E$14=A6,25,0)+IF('Race Results'!$G$14=A6,18,0)+IF('Race Results'!$H$14=A6,15,0)+IF('Race Results'!$I$14=A6,12,0)+IF('Race Results'!$J$14=A6,10,0)+IF('Race Results'!$K$14=A6,8,0)+IF('Race Results'!$L$14=A6,6,0)+IF('Race Results'!$M$14=A6,4,0)+IF('Race Results'!$N$14=A6,2,0)+IF('Race Results'!$O$14=A6,1,0)+IF(AND('Race Results'!$Q$14=A6,'Race Results'!$R$14="Yes"),1,0),0),0)+IFERROR(IF('Race Results'!$E$15=A6,25,0)+IF('Race Results'!$G$15=A6,18,0)+IF('Race Results'!$H$15=A6,15,0)+IF('Race Results'!$I$15=A6,12,0)+IF('Race Results'!$J$15=A6,10,0)+IF('Race Results'!$K$15=A6,8,0)+IF('Race Results'!$L$15=A6,6,0)+IF('Race Results'!$M$15=A6,4,0)+IF('Race Results'!$N$15=A6,2,0)+IF('Race Results'!$O$15=A6,1,0)+IF(AND('Race Results'!$Q$15=A6,'Race Results'!$R$15="Yes"),1,0),0),0)+IFERROR(IF('Race Results'!$E$16=A6,25,0)+IF('Race Results'!$G$16=A6,18,0)+IF('Race Results'!$H$16=A6,15,0)+IF('Race Results'!$I$16=A6,12,0)+IF('Race Results'!$J$16=A6,10,0)+IF('Race Results'!$K$16=A6,8,0)+IF('Race Results'!$L$16=A6,6,0)+IF('Race Results'!$M$16=A6,4,0)+IF('Race Results'!$N$16=A6,2,0)+IF('Race Results'!$O$16=A6,1,0)+IF(AND('Race Results'!$Q$16=A6,'Race Results'!$R$16="Yes"),1,0)+IF('Sprint Results'!$E$6=A6,8,0)+IF('Sprint Results'!$F$6=A6,7,0)+IF('Sprint Results'!$G$6=A6,6,0)+IF('Sprint Results'!$H$6=A6,5,0)+IF('Sprint Results'!$I$6=A6,4,0)+IF('Sprint Results'!$J$6=A6,3,0)+IF('Sprint Results'!$K$6=A6,2,0)+IF('Sprint Results'!$L$6=A6,1,0),0),0)+IFERROR(IF('Race Results'!$E$17=A6,25,0)+IF('Race Results'!$G$17=A6,18,0)+IF('Race Results'!$H$17=A6,15,0)+IF('Race Results'!$I$17=A6,12,0)+IF('Race Results'!$J$17=A6,10,0)+IF('Race Results'!$K$17=A6,8,0)+IF('Race Results'!$L$17=A6,6,0)+IF('Race Results'!$M$17=A6,4,0)+IF('Race Results'!$N$17=A6,2,0)+IF('Race Results'!$O$17=A6,1,0)+IF(AND('Race Results'!$Q$17=A6,'Race Results'!$R$17="Yes"),1,0),0),0)</f>
        <v>17</v>
      </c>
      <c r="R29" s="1" t="n">
        <v>17</v>
      </c>
      <c r="S29" s="1" t="n">
        <v>17</v>
      </c>
      <c r="T29" s="1" t="n">
        <v>17</v>
      </c>
      <c r="U29" s="1" t="n">
        <v>17</v>
      </c>
      <c r="V29" s="1" t="n">
        <v>17</v>
      </c>
      <c r="W29" s="1" t="n">
        <v>17</v>
      </c>
      <c r="X29" s="1" t="n">
        <v>17</v>
      </c>
      <c r="Y29" s="1" t="n">
        <v>17</v>
      </c>
    </row>
    <row r="30" customFormat="false" ht="14.25" hidden="false" customHeight="true" outlineLevel="0" collapsed="false">
      <c r="A30" s="1" t="s">
        <v>52</v>
      </c>
      <c r="B30" s="1" t="n">
        <f aca="false">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</f>
        <v>10</v>
      </c>
      <c r="C30" s="1" t="n">
        <f aca="false">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</f>
        <v>15</v>
      </c>
      <c r="D30" s="1" t="n">
        <f aca="false">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</f>
        <v>25</v>
      </c>
      <c r="E30" s="1" t="n">
        <f aca="false">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</f>
        <v>25</v>
      </c>
      <c r="F30" s="1" t="n">
        <f aca="false">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</f>
        <v>25</v>
      </c>
      <c r="G30" s="1" t="n">
        <f aca="false">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</f>
        <v>25</v>
      </c>
      <c r="H30" s="1" t="n">
        <f aca="false">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</f>
        <v>25</v>
      </c>
      <c r="I30" s="1" t="n">
        <f aca="false">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</f>
        <v>25</v>
      </c>
      <c r="J30" s="1" t="n">
        <f aca="false">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</f>
        <v>25</v>
      </c>
      <c r="K30" s="1" t="n">
        <f aca="false">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</f>
        <v>25</v>
      </c>
      <c r="L30" s="1" t="n">
        <f aca="false">IFERROR(IFERROR(IFERROR(IFERROR(IFERROR(IFERROR(IFERROR(IFERROR(IFERROR(IFERROR(IFERROR(IFERROR(IF('Race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Results'!$R$11="Yes"),1,0),0),0)+IFERROR(IF('Race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Results'!$R$12="Yes"),1,0),0),0)</f>
        <v>25</v>
      </c>
      <c r="M30" s="1" t="n">
        <f aca="false">IFERROR(IFERROR(IFERROR(IFERROR(IFERROR(IFERROR(IFERROR(IFERROR(IFERROR(IFERROR(IFERROR(IFERROR(IFERROR(IF('Race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Results'!$R$11="Yes"),1,0),0),0)+IFERROR(IF('Race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Results'!$R$12="Yes"),1,0),0),0)+IFERROR(IF('Race Results'!$E$13=A7,25,0)+IF('Race Results'!$G$13=A7,18,0)+IF('Race Results'!$H$13=A7,15,0)+IF('Race Results'!$I$13=A7,12,0)+IF('Race Results'!$J$13=A7,10,0)+IF('Race Results'!$K$13=A7,8,0)+IF('Race Results'!$L$13=A7,6,0)+IF('Race Results'!$M$13=A7,4,0)+IF('Race Results'!$N$13=A7,2,0)+IF('Race Results'!$O$13=A7,1,0)+IF(AND('Race Results'!$Q$13=A7,'Race Results'!$R$13="Yes"),1,0)+IF('Sprint Results'!$E$5=A7,8,0)+IF('Sprint Results'!$F$5=A7,7,0)+IF('Sprint Results'!$G$5=A7,6,0)+IF('Sprint Results'!$H$5=A7,5,0)+IF('Sprint Results'!$I$5=A7,4,0)+IF('Sprint Results'!$J$5=A7,3,0)+IF('Sprint Results'!$K$5=A7,2,0)+IF('Sprint Results'!$L$5=A7,1,0),0),0)</f>
        <v>25</v>
      </c>
      <c r="N30" s="1" t="n">
        <f aca="false">IFERROR(IFERROR(IFERROR(IFERROR(IFERROR(IFERROR(IFERROR(IFERROR(IFERROR(IFERROR(IFERROR(IFERROR(IFERROR(IFERROR(IF('Race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Results'!$R$11="Yes"),1,0),0),0)+IFERROR(IF('Race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Results'!$R$12="Yes"),1,0),0),0)+IFERROR(IF('Race Results'!$E$13=A7,25,0)+IF('Race Results'!$G$13=A7,18,0)+IF('Race Results'!$H$13=A7,15,0)+IF('Race Results'!$I$13=A7,12,0)+IF('Race Results'!$J$13=A7,10,0)+IF('Race Results'!$K$13=A7,8,0)+IF('Race Results'!$L$13=A7,6,0)+IF('Race Results'!$M$13=A7,4,0)+IF('Race Results'!$N$13=A7,2,0)+IF('Race Results'!$O$13=A7,1,0)+IF(AND('Race Results'!$Q$13=A7,'Race Results'!$R$13="Yes"),1,0)+IF('Sprint Results'!$E$5=A7,8,0)+IF('Sprint Results'!$F$5=A7,7,0)+IF('Sprint Results'!$G$5=A7,6,0)+IF('Sprint Results'!$H$5=A7,5,0)+IF('Sprint Results'!$I$5=A7,4,0)+IF('Sprint Results'!$J$5=A7,3,0)+IF('Sprint Results'!$K$5=A7,2,0)+IF('Sprint Results'!$L$5=A7,1,0),0),0)+IFERROR(IF('Race Results'!$E$14=A7,25,0)+IF('Race Results'!$G$14=A7,18,0)+IF('Race Results'!$H$14=A7,15,0)+IF('Race Results'!$I$14=A7,12,0)+IF('Race Results'!$J$14=A7,10,0)+IF('Race Results'!$K$14=A7,8,0)+IF('Race Results'!$L$14=A7,6,0)+IF('Race Results'!$M$14=A7,4,0)+IF('Race Results'!$N$14=A7,2,0)+IF('Race Results'!$O$14=A7,1,0)+IF(AND('Race Results'!$Q$14=A7,'Race Results'!$R$14="Yes"),1,0),0),0)</f>
        <v>25</v>
      </c>
      <c r="O30" s="1" t="n">
        <f aca="false">IFERROR(IFERROR(IFERROR(IFERROR(IFERROR(IFERROR(IFERROR(IFERROR(IFERROR(IFERROR(IFERROR(IFERROR(IFERROR(IFERROR(IFERROR(IF('Race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Results'!$R$11="Yes"),1,0),0),0)+IFERROR(IF('Race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Results'!$R$12="Yes"),1,0),0),0)+IFERROR(IF('Race Results'!$E$13=A7,25,0)+IF('Race Results'!$G$13=A7,18,0)+IF('Race Results'!$H$13=A7,15,0)+IF('Race Results'!$I$13=A7,12,0)+IF('Race Results'!$J$13=A7,10,0)+IF('Race Results'!$K$13=A7,8,0)+IF('Race Results'!$L$13=A7,6,0)+IF('Race Results'!$M$13=A7,4,0)+IF('Race Results'!$N$13=A7,2,0)+IF('Race Results'!$O$13=A7,1,0)+IF(AND('Race Results'!$Q$13=A7,'Race Results'!$R$13="Yes"),1,0)+IF('Sprint Results'!$E$5=A7,8,0)+IF('Sprint Results'!$F$5=A7,7,0)+IF('Sprint Results'!$G$5=A7,6,0)+IF('Sprint Results'!$H$5=A7,5,0)+IF('Sprint Results'!$I$5=A7,4,0)+IF('Sprint Results'!$J$5=A7,3,0)+IF('Sprint Results'!$K$5=A7,2,0)+IF('Sprint Results'!$L$5=A7,1,0),0),0)+IFERROR(IF('Race Results'!$E$14=A7,25,0)+IF('Race Results'!$G$14=A7,18,0)+IF('Race Results'!$H$14=A7,15,0)+IF('Race Results'!$I$14=A7,12,0)+IF('Race Results'!$J$14=A7,10,0)+IF('Race Results'!$K$14=A7,8,0)+IF('Race Results'!$L$14=A7,6,0)+IF('Race Results'!$M$14=A7,4,0)+IF('Race Results'!$N$14=A7,2,0)+IF('Race Results'!$O$14=A7,1,0)+IF(AND('Race Results'!$Q$14=A7,'Race Results'!$R$14="Yes"),1,0),0),0)+IFERROR(IF('Race Results'!$E$15=A7,25,0)+IF('Race Results'!$G$15=A7,18,0)+IF('Race Results'!$H$15=A7,15,0)+IF('Race Results'!$I$15=A7,12,0)+IF('Race Results'!$J$15=A7,10,0)+IF('Race Results'!$K$15=A7,8,0)+IF('Race Results'!$L$15=A7,6,0)+IF('Race Results'!$M$15=A7,4,0)+IF('Race Results'!$N$15=A7,2,0)+IF('Race Results'!$O$15=A7,1,0)+IF(AND('Race Results'!$Q$15=A7,'Race Results'!$R$15="Yes"),1,0),0),0)</f>
        <v>25</v>
      </c>
      <c r="P30" s="1" t="n">
        <f aca="false">IFERROR(IFERROR(IFERROR(IFERROR(IFERROR(IFERROR(IFERROR(IFERROR(IFERROR(IFERROR(IFERROR(IFERROR(IFERROR(IFERROR(IFERROR(IFERROR(IF('Race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Results'!$R$11="Yes"),1,0),0),0)+IFERROR(IF('Race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Results'!$R$12="Yes"),1,0),0),0)+IFERROR(IF('Race Results'!$E$13=A7,25,0)+IF('Race Results'!$G$13=A7,18,0)+IF('Race Results'!$H$13=A7,15,0)+IF('Race Results'!$I$13=A7,12,0)+IF('Race Results'!$J$13=A7,10,0)+IF('Race Results'!$K$13=A7,8,0)+IF('Race Results'!$L$13=A7,6,0)+IF('Race Results'!$M$13=A7,4,0)+IF('Race Results'!$N$13=A7,2,0)+IF('Race Results'!$O$13=A7,1,0)+IF(AND('Race Results'!$Q$13=A7,'Race Results'!$R$13="Yes"),1,0)+IF('Sprint Results'!$E$5=A7,8,0)+IF('Sprint Results'!$F$5=A7,7,0)+IF('Sprint Results'!$G$5=A7,6,0)+IF('Sprint Results'!$H$5=A7,5,0)+IF('Sprint Results'!$I$5=A7,4,0)+IF('Sprint Results'!$J$5=A7,3,0)+IF('Sprint Results'!$K$5=A7,2,0)+IF('Sprint Results'!$L$5=A7,1,0),0),0)+IFERROR(IF('Race Results'!$E$14=A7,25,0)+IF('Race Results'!$G$14=A7,18,0)+IF('Race Results'!$H$14=A7,15,0)+IF('Race Results'!$I$14=A7,12,0)+IF('Race Results'!$J$14=A7,10,0)+IF('Race Results'!$K$14=A7,8,0)+IF('Race Results'!$L$14=A7,6,0)+IF('Race Results'!$M$14=A7,4,0)+IF('Race Results'!$N$14=A7,2,0)+IF('Race Results'!$O$14=A7,1,0)+IF(AND('Race Results'!$Q$14=A7,'Race Results'!$R$14="Yes"),1,0),0),0)+IFERROR(IF('Race Results'!$E$15=A7,25,0)+IF('Race Results'!$G$15=A7,18,0)+IF('Race Results'!$H$15=A7,15,0)+IF('Race Results'!$I$15=A7,12,0)+IF('Race Results'!$J$15=A7,10,0)+IF('Race Results'!$K$15=A7,8,0)+IF('Race Results'!$L$15=A7,6,0)+IF('Race Results'!$M$15=A7,4,0)+IF('Race Results'!$N$15=A7,2,0)+IF('Race Results'!$O$15=A7,1,0)+IF(AND('Race Results'!$Q$15=A7,'Race Results'!$R$15="Yes"),1,0),0),0)+IFERROR(IF('Race Results'!$E$16=A7,25,0)+IF('Race Results'!$G$16=A7,18,0)+IF('Race Results'!$H$16=A7,15,0)+IF('Race Results'!$I$16=A7,12,0)+IF('Race Results'!$J$16=A7,10,0)+IF('Race Results'!$K$16=A7,8,0)+IF('Race Results'!$L$16=A7,6,0)+IF('Race Results'!$M$16=A7,4,0)+IF('Race Results'!$N$16=A7,2,0)+IF('Race Results'!$O$16=A7,1,0)+IF(AND('Race Results'!$Q$16=A7,'Race Results'!$R$16="Yes"),1,0)+IF('Sprint Results'!$E$6=A7,8,0)+IF('Sprint Results'!$F$6=A7,7,0)+IF('Sprint Results'!$G$6=A7,6,0)+IF('Sprint Results'!$H$6=A7,5,0)+IF('Sprint Results'!$I$6=A7,4,0)+IF('Sprint Results'!$J$6=A7,3,0)+IF('Sprint Results'!$K$6=A7,2,0)+IF('Sprint Results'!$L$6=A7,1,0),0),0)</f>
        <v>25</v>
      </c>
      <c r="Q30" s="1" t="n">
        <f aca="false">IFERROR(IFERROR(IFERROR(IFERROR(IFERROR(IFERROR(IFERROR(IFERROR(IFERROR(IFERROR(IFERROR(IFERROR(IFERROR(IFERROR(IFERROR(IFERROR(IFERROR(IF('Race Results'!$E$2=A7,25,0)+IF('Race Results'!$G$2=A7,18,0)+IF('Race Results'!$H$2=A7,15,0)+IF('Race Results'!$I$2=A7,12,0)+IF('Race Results'!$J$2=A7,10,0)+IF('Race Results'!$K$2=A7,8,0)+IF('Race Results'!$L$2=A7,6,0)+IF('Race Results'!$M$2=A7,4,0)+IF('Race Results'!$N$2=A7,2,0)+IF('Race Results'!$O$2=A7,1,0)+IF(AND('Race Results'!$Q$2=A7,'Race Results'!$R$2="Yes"),1,0),0),0)+IFERROR(IF('Race Results'!$E$3=A7,25,0)+IF('Race Results'!$G$3=A7,18,0)+IF('Race Results'!$H$3=A7,15,0)+IF('Race Results'!$I$3=A7,12,0)+IF('Race Results'!$J$3=A7,10,0)+IF('Race Results'!$K$3=A7,8,0)+IF('Race Results'!$L$3=A7,6,0)+IF('Race Results'!$M$3=A7,4,0)+IF('Race Results'!$N$3=A7,2,0)+IF('Race Results'!$O$3=A7,1,0)+IF(AND('Race Results'!$Q$3=A7,'Race Results'!$R$3="Yes"),1,0)+IF('Sprint Results'!$E$2=A7,8,0)+IF('Sprint Results'!$F$2=A7,7,0)+IF('Sprint Results'!$G$2=A7,6,0)+IF('Sprint Results'!$H$2=A7,5,0)+IF('Sprint Results'!$I$2=A7,4,0)+IF('Sprint Results'!$J$2=A7,3,0)+IF('Sprint Results'!$K$2=A7,2,0)+IF('Sprint Results'!$L$2=A7,1,0),0),0)+IFERROR(IF('Race Results'!$E$4=A7,25,0)+IF('Race Results'!$G$4=A7,18,0)+IF('Race Results'!$H$4=A7,15,0)+IF('Race Results'!$I$4=A7,12,0)+IF('Race Results'!$J$4=A7,10,0)+IF('Race Results'!$K$4=A7,8,0)+IF('Race Results'!$L$4=A7,6,0)+IF('Race Results'!$M$4=A7,4,0)+IF('Race Results'!$N$4=A7,2,0)+IF('Race Results'!$O$4=A7,1,0)+IF(AND('Race Results'!$Q$4=A7,'Race Results'!$R$4="Yes"),1,0),0),0)+IFERROR(IF('Race Results'!$E$5=A7,25,0)+IF('Race Results'!$G$5=A7,18,0)+IF('Race Results'!$H$5=A7,15,0)+IF('Race Results'!$I$5=A7,12,0)+IF('Race Results'!$J$5=A7,10,0)+IF('Race Results'!$K$5=A7,8,0)+IF('Race Results'!$L$5=A7,6,0)+IF('Race Results'!$M$5=A7,4,0)+IF('Race Results'!$N$5=A7,2,0)+IF('Race Results'!$O$5=A7,1,0)+IF(AND('Race Results'!$Q$5=A7,'Race Results'!$R$5="Yes"),1,0),0),0)+IFERROR(IF('Race Results'!$E$6=A7,25,0)+IF('Race Results'!$G$6=A7,18,0)+IF('Race Results'!$H$6=A7,15,0)+IF('Race Results'!$I$6=A7,12,0)+IF('Race Results'!$J$6=A7,10,0)+IF('Race Results'!$K$6=A7,8,0)+IF('Race Results'!$L$6=A7,6,0)+IF('Race Results'!$M$6=A7,4,0)+IF('Race Results'!$N$6=A7,2,0)+IF('Race Results'!$O$6=A7,1,0)+IF(AND('Race Results'!$Q$6=A7,'Race Results'!$R$6="Yes"),1,0),0),0)+IFERROR(IF('Race Results'!$E$7=A7,25,0)+IF('Race Results'!$G$7=A7,18,0)+IF('Race Results'!$H$7=A7,15,0)+IF('Race Results'!$I$7=A7,12,0)+IF('Race Results'!$J$7=A7,10,0)+IF('Race Results'!$K$7=A7,8,0)+IF('Race Results'!$L$7=A7,6,0)+IF('Race Results'!$M$7=A7,4,0)+IF('Race Results'!$N$7=A7,2,0)+IF('Race Results'!$O$7=A7,1,0)+IF(AND('Race Results'!$Q$7=A7,'Race Results'!$R$7="Yes"),1,0)+IF('Sprint Results'!$E$3=A7,8,0)+IF('Sprint Results'!$F$3=A7,7,0)+IF('Sprint Results'!$G$3=A7,6,0)+IF('Sprint Results'!$H$3=A7,5,0)+IF('Sprint Results'!$I$3=A7,4,0)+IF('Sprint Results'!$J$3=A7,3,0)+IF('Sprint Results'!$K$3=A7,2,0)+IF('Sprint Results'!$L$3=A7,1,0),0),0)+IFERROR(IF('Race Results'!$E$8=A7,25,0)+IF('Race Results'!$G$8=A7,18,0)+IF('Race Results'!$H$8=A7,15,0)+IF('Race Results'!$I$8=A7,12,0)+IF('Race Results'!$J$8=A7,10,0)+IF('Race Results'!$K$8=A7,8,0)+IF('Race Results'!$L$8=A7,6,0)+IF('Race Results'!$M$8=A7,4,0)+IF('Race Results'!$N$8=A7,2,0)+IF('Race Results'!$O$8=A7,1,0)+IF(AND('Race Results'!$Q$8=A7,'Race Results'!$R$8="Yes"),1,0)+IF('Sprint Results'!$E$4=A7,8,0)+IF('Sprint Results'!$F$4=A7,7,0)+IF('Sprint Results'!$G$4=A7,6,0)+IF('Sprint Results'!$H$4=A7,5,0)+IF('Sprint Results'!$I$4=A7,4,0)+IF('Sprint Results'!$J$4=A7,3,0)+IF('Sprint Results'!$K$4=A7,2,0)+IF('Sprint Results'!$L$4=A7,1,0),0),0)+IFERROR(IF('Race Results'!$E$9=A7,25,0)+IF('Race Results'!$G$9=A7,18,0)+IF('Race Results'!$H$9=A7,15,0)+IF('Race Results'!$I$9=A7,12,0)+IF('Race Results'!$J$9=A7,10,0)+IF('Race Results'!$K$9=A7,8,0)+IF('Race Results'!$L$9=A7,6,0)+IF('Race Results'!$M$9=A7,4,0)+IF('Race Results'!$N$9=A7,2,0)+IF('Race Results'!$O$9=A7,1,0)+IF(AND('Race Results'!$Q$9=A7,'Race Results'!$R$9="Yes"),1,0),0),0)+IFERROR(IF('Race Results'!$E$10=A7,25,0)+IF('Race Results'!$G$10=A7,18,0)+IF('Race Results'!$H$10=A7,15,0)+IF('Race Results'!$I$10=A7,12,0)+IF('Race Results'!$J$10=A7,10,0)+IF('Race Results'!$K$10=A7,8,0)+IF('Race Results'!$L$10=A7,6,0)+IF('Race Results'!$M$10=A7,4,0)+IF('Race Results'!$N$10=A7,2,0)+IF('Race Results'!$O$10=A7,1,0)+IF(AND('Race Results'!$Q$10=A7,'Race Results'!$R$10="Yes"),1,0),0),0)+IFERROR(IF('Race Results'!$E$11=A7,25,0)+IF('Race Results'!$G$11=A7,18,0)+IF('Race Results'!$H$11=A7,15,0)+IF('Race Results'!$I$11=A7,12,0)+IF('Race Results'!$J$11=A7,10,0)+IF('Race Results'!$K$11=A7,8,0)+IF('Race Results'!$L$11=A7,6,0)+IF('Race Results'!$M$11=A7,4,0)+IF('Race Results'!$N$11=A7,2,0)+IF('Race Results'!$O$11=A7,1,0)+IF(AND('Race Results'!$Q$11=A7,'Race Results'!$R$11="Yes"),1,0),0),0)+IFERROR(IF('Race Results'!$E$12=A7,25,0)+IF('Race Results'!$G$12=A7,18,0)+IF('Race Results'!$H$12=A7,15,0)+IF('Race Results'!$I$12=A7,12,0)+IF('Race Results'!$J$12=A7,10,0)+IF('Race Results'!$K$12=A7,8,0)+IF('Race Results'!$L$12=A7,6,0)+IF('Race Results'!$M$12=A7,4,0)+IF('Race Results'!$N$12=A7,2,0)+IF('Race Results'!$O$12=A7,1,0)+IF(AND('Race Results'!$Q$12=A7,'Race Results'!$R$12="Yes"),1,0),0),0)+IFERROR(IF('Race Results'!$E$13=A7,25,0)+IF('Race Results'!$G$13=A7,18,0)+IF('Race Results'!$H$13=A7,15,0)+IF('Race Results'!$I$13=A7,12,0)+IF('Race Results'!$J$13=A7,10,0)+IF('Race Results'!$K$13=A7,8,0)+IF('Race Results'!$L$13=A7,6,0)+IF('Race Results'!$M$13=A7,4,0)+IF('Race Results'!$N$13=A7,2,0)+IF('Race Results'!$O$13=A7,1,0)+IF(AND('Race Results'!$Q$13=A7,'Race Results'!$R$13="Yes"),1,0)+IF('Sprint Results'!$E$5=A7,8,0)+IF('Sprint Results'!$F$5=A7,7,0)+IF('Sprint Results'!$G$5=A7,6,0)+IF('Sprint Results'!$H$5=A7,5,0)+IF('Sprint Results'!$I$5=A7,4,0)+IF('Sprint Results'!$J$5=A7,3,0)+IF('Sprint Results'!$K$5=A7,2,0)+IF('Sprint Results'!$L$5=A7,1,0),0),0)+IFERROR(IF('Race Results'!$E$14=A7,25,0)+IF('Race Results'!$G$14=A7,18,0)+IF('Race Results'!$H$14=A7,15,0)+IF('Race Results'!$I$14=A7,12,0)+IF('Race Results'!$J$14=A7,10,0)+IF('Race Results'!$K$14=A7,8,0)+IF('Race Results'!$L$14=A7,6,0)+IF('Race Results'!$M$14=A7,4,0)+IF('Race Results'!$N$14=A7,2,0)+IF('Race Results'!$O$14=A7,1,0)+IF(AND('Race Results'!$Q$14=A7,'Race Results'!$R$14="Yes"),1,0),0),0)+IFERROR(IF('Race Results'!$E$15=A7,25,0)+IF('Race Results'!$G$15=A7,18,0)+IF('Race Results'!$H$15=A7,15,0)+IF('Race Results'!$I$15=A7,12,0)+IF('Race Results'!$J$15=A7,10,0)+IF('Race Results'!$K$15=A7,8,0)+IF('Race Results'!$L$15=A7,6,0)+IF('Race Results'!$M$15=A7,4,0)+IF('Race Results'!$N$15=A7,2,0)+IF('Race Results'!$O$15=A7,1,0)+IF(AND('Race Results'!$Q$15=A7,'Race Results'!$R$15="Yes"),1,0),0),0)+IFERROR(IF('Race Results'!$E$16=A7,25,0)+IF('Race Results'!$G$16=A7,18,0)+IF('Race Results'!$H$16=A7,15,0)+IF('Race Results'!$I$16=A7,12,0)+IF('Race Results'!$J$16=A7,10,0)+IF('Race Results'!$K$16=A7,8,0)+IF('Race Results'!$L$16=A7,6,0)+IF('Race Results'!$M$16=A7,4,0)+IF('Race Results'!$N$16=A7,2,0)+IF('Race Results'!$O$16=A7,1,0)+IF(AND('Race Results'!$Q$16=A7,'Race Results'!$R$16="Yes"),1,0)+IF('Sprint Results'!$E$6=A7,8,0)+IF('Sprint Results'!$F$6=A7,7,0)+IF('Sprint Results'!$G$6=A7,6,0)+IF('Sprint Results'!$H$6=A7,5,0)+IF('Sprint Results'!$I$6=A7,4,0)+IF('Sprint Results'!$J$6=A7,3,0)+IF('Sprint Results'!$K$6=A7,2,0)+IF('Sprint Results'!$L$6=A7,1,0),0),0)+IFERROR(IF('Race Results'!$E$17=A7,25,0)+IF('Race Results'!$G$17=A7,18,0)+IF('Race Results'!$H$17=A7,15,0)+IF('Race Results'!$I$17=A7,12,0)+IF('Race Results'!$J$17=A7,10,0)+IF('Race Results'!$K$17=A7,8,0)+IF('Race Results'!$L$17=A7,6,0)+IF('Race Results'!$M$17=A7,4,0)+IF('Race Results'!$N$17=A7,2,0)+IF('Race Results'!$O$17=A7,1,0)+IF(AND('Race Results'!$Q$17=A7,'Race Results'!$R$17="Yes"),1,0),0),0)</f>
        <v>25</v>
      </c>
      <c r="R30" s="1" t="n">
        <v>15</v>
      </c>
      <c r="S30" s="1" t="n">
        <v>15</v>
      </c>
      <c r="T30" s="1" t="n">
        <v>15</v>
      </c>
      <c r="U30" s="1" t="n">
        <v>15</v>
      </c>
      <c r="V30" s="1" t="n">
        <v>15</v>
      </c>
      <c r="W30" s="1" t="n">
        <v>15</v>
      </c>
      <c r="X30" s="1" t="n">
        <v>15</v>
      </c>
      <c r="Y30" s="1" t="n">
        <v>15</v>
      </c>
    </row>
    <row r="31" customFormat="false" ht="14.25" hidden="false" customHeight="true" outlineLevel="0" collapsed="false">
      <c r="A31" s="1" t="s">
        <v>57</v>
      </c>
      <c r="B31" s="1" t="n">
        <f aca="false">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</f>
        <v>1</v>
      </c>
      <c r="C31" s="1" t="n">
        <f aca="false">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</f>
        <v>9</v>
      </c>
      <c r="D31" s="1" t="n">
        <f aca="false">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</f>
        <v>15</v>
      </c>
      <c r="E31" s="1" t="n">
        <f aca="false">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</f>
        <v>15</v>
      </c>
      <c r="F31" s="1" t="n">
        <f aca="false">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</f>
        <v>15</v>
      </c>
      <c r="G31" s="1" t="n">
        <f aca="false">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</f>
        <v>15</v>
      </c>
      <c r="H31" s="1" t="n">
        <f aca="false">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</f>
        <v>15</v>
      </c>
      <c r="I31" s="1" t="n">
        <f aca="false">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</f>
        <v>15</v>
      </c>
      <c r="J31" s="1" t="n">
        <f aca="false">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</f>
        <v>15</v>
      </c>
      <c r="K31" s="1" t="n">
        <f aca="false">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</f>
        <v>15</v>
      </c>
      <c r="L31" s="1" t="n">
        <f aca="false">IFERROR(IFERROR(IFERROR(IFERROR(IFERROR(IFERROR(IFERROR(IFERROR(IFERROR(IFERROR(IFERROR(IFERROR(IF('Race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Results'!$R$11="Yes"),1,0),0),0)+IFERROR(IF('Race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Results'!$R$12="Yes"),1,0),0),0)</f>
        <v>15</v>
      </c>
      <c r="M31" s="1" t="n">
        <f aca="false">IFERROR(IFERROR(IFERROR(IFERROR(IFERROR(IFERROR(IFERROR(IFERROR(IFERROR(IFERROR(IFERROR(IFERROR(IFERROR(IF('Race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Results'!$R$11="Yes"),1,0),0),0)+IFERROR(IF('Race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Results'!$R$12="Yes"),1,0),0),0)+IFERROR(IF('Race Results'!$E$13=A8,25,0)+IF('Race Results'!$G$13=A8,18,0)+IF('Race Results'!$H$13=A8,15,0)+IF('Race Results'!$I$13=A8,12,0)+IF('Race Results'!$J$13=A8,10,0)+IF('Race Results'!$K$13=A8,8,0)+IF('Race Results'!$L$13=A8,6,0)+IF('Race Results'!$M$13=A8,4,0)+IF('Race Results'!$N$13=A8,2,0)+IF('Race Results'!$O$13=A8,1,0)+IF(AND('Race Results'!$Q$13=A8,'Race Results'!$R$13="Yes"),1,0)+IF('Sprint Results'!$E$5=A8,8,0)+IF('Sprint Results'!$F$5=A8,7,0)+IF('Sprint Results'!$G$5=A8,6,0)+IF('Sprint Results'!$H$5=A8,5,0)+IF('Sprint Results'!$I$5=A8,4,0)+IF('Sprint Results'!$J$5=A8,3,0)+IF('Sprint Results'!$K$5=A8,2,0)+IF('Sprint Results'!$L$5=A8,1,0),0),0)</f>
        <v>15</v>
      </c>
      <c r="N31" s="1" t="n">
        <f aca="false">IFERROR(IFERROR(IFERROR(IFERROR(IFERROR(IFERROR(IFERROR(IFERROR(IFERROR(IFERROR(IFERROR(IFERROR(IFERROR(IFERROR(IF('Race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Results'!$R$11="Yes"),1,0),0),0)+IFERROR(IF('Race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Results'!$R$12="Yes"),1,0),0),0)+IFERROR(IF('Race Results'!$E$13=A8,25,0)+IF('Race Results'!$G$13=A8,18,0)+IF('Race Results'!$H$13=A8,15,0)+IF('Race Results'!$I$13=A8,12,0)+IF('Race Results'!$J$13=A8,10,0)+IF('Race Results'!$K$13=A8,8,0)+IF('Race Results'!$L$13=A8,6,0)+IF('Race Results'!$M$13=A8,4,0)+IF('Race Results'!$N$13=A8,2,0)+IF('Race Results'!$O$13=A8,1,0)+IF(AND('Race Results'!$Q$13=A8,'Race Results'!$R$13="Yes"),1,0)+IF('Sprint Results'!$E$5=A8,8,0)+IF('Sprint Results'!$F$5=A8,7,0)+IF('Sprint Results'!$G$5=A8,6,0)+IF('Sprint Results'!$H$5=A8,5,0)+IF('Sprint Results'!$I$5=A8,4,0)+IF('Sprint Results'!$J$5=A8,3,0)+IF('Sprint Results'!$K$5=A8,2,0)+IF('Sprint Results'!$L$5=A8,1,0),0),0)+IFERROR(IF('Race Results'!$E$14=A8,25,0)+IF('Race Results'!$G$14=A8,18,0)+IF('Race Results'!$H$14=A8,15,0)+IF('Race Results'!$I$14=A8,12,0)+IF('Race Results'!$J$14=A8,10,0)+IF('Race Results'!$K$14=A8,8,0)+IF('Race Results'!$L$14=A8,6,0)+IF('Race Results'!$M$14=A8,4,0)+IF('Race Results'!$N$14=A8,2,0)+IF('Race Results'!$O$14=A8,1,0)+IF(AND('Race Results'!$Q$14=A8,'Race Results'!$R$14="Yes"),1,0),0),0)</f>
        <v>15</v>
      </c>
      <c r="O31" s="1" t="n">
        <f aca="false">IFERROR(IFERROR(IFERROR(IFERROR(IFERROR(IFERROR(IFERROR(IFERROR(IFERROR(IFERROR(IFERROR(IFERROR(IFERROR(IFERROR(IFERROR(IF('Race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Results'!$R$11="Yes"),1,0),0),0)+IFERROR(IF('Race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Results'!$R$12="Yes"),1,0),0),0)+IFERROR(IF('Race Results'!$E$13=A8,25,0)+IF('Race Results'!$G$13=A8,18,0)+IF('Race Results'!$H$13=A8,15,0)+IF('Race Results'!$I$13=A8,12,0)+IF('Race Results'!$J$13=A8,10,0)+IF('Race Results'!$K$13=A8,8,0)+IF('Race Results'!$L$13=A8,6,0)+IF('Race Results'!$M$13=A8,4,0)+IF('Race Results'!$N$13=A8,2,0)+IF('Race Results'!$O$13=A8,1,0)+IF(AND('Race Results'!$Q$13=A8,'Race Results'!$R$13="Yes"),1,0)+IF('Sprint Results'!$E$5=A8,8,0)+IF('Sprint Results'!$F$5=A8,7,0)+IF('Sprint Results'!$G$5=A8,6,0)+IF('Sprint Results'!$H$5=A8,5,0)+IF('Sprint Results'!$I$5=A8,4,0)+IF('Sprint Results'!$J$5=A8,3,0)+IF('Sprint Results'!$K$5=A8,2,0)+IF('Sprint Results'!$L$5=A8,1,0),0),0)+IFERROR(IF('Race Results'!$E$14=A8,25,0)+IF('Race Results'!$G$14=A8,18,0)+IF('Race Results'!$H$14=A8,15,0)+IF('Race Results'!$I$14=A8,12,0)+IF('Race Results'!$J$14=A8,10,0)+IF('Race Results'!$K$14=A8,8,0)+IF('Race Results'!$L$14=A8,6,0)+IF('Race Results'!$M$14=A8,4,0)+IF('Race Results'!$N$14=A8,2,0)+IF('Race Results'!$O$14=A8,1,0)+IF(AND('Race Results'!$Q$14=A8,'Race Results'!$R$14="Yes"),1,0),0),0)+IFERROR(IF('Race Results'!$E$15=A8,25,0)+IF('Race Results'!$G$15=A8,18,0)+IF('Race Results'!$H$15=A8,15,0)+IF('Race Results'!$I$15=A8,12,0)+IF('Race Results'!$J$15=A8,10,0)+IF('Race Results'!$K$15=A8,8,0)+IF('Race Results'!$L$15=A8,6,0)+IF('Race Results'!$M$15=A8,4,0)+IF('Race Results'!$N$15=A8,2,0)+IF('Race Results'!$O$15=A8,1,0)+IF(AND('Race Results'!$Q$15=A8,'Race Results'!$R$15="Yes"),1,0),0),0)</f>
        <v>15</v>
      </c>
      <c r="P31" s="1" t="n">
        <f aca="false">IFERROR(IFERROR(IFERROR(IFERROR(IFERROR(IFERROR(IFERROR(IFERROR(IFERROR(IFERROR(IFERROR(IFERROR(IFERROR(IFERROR(IFERROR(IFERROR(IF('Race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Results'!$R$11="Yes"),1,0),0),0)+IFERROR(IF('Race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Results'!$R$12="Yes"),1,0),0),0)+IFERROR(IF('Race Results'!$E$13=A8,25,0)+IF('Race Results'!$G$13=A8,18,0)+IF('Race Results'!$H$13=A8,15,0)+IF('Race Results'!$I$13=A8,12,0)+IF('Race Results'!$J$13=A8,10,0)+IF('Race Results'!$K$13=A8,8,0)+IF('Race Results'!$L$13=A8,6,0)+IF('Race Results'!$M$13=A8,4,0)+IF('Race Results'!$N$13=A8,2,0)+IF('Race Results'!$O$13=A8,1,0)+IF(AND('Race Results'!$Q$13=A8,'Race Results'!$R$13="Yes"),1,0)+IF('Sprint Results'!$E$5=A8,8,0)+IF('Sprint Results'!$F$5=A8,7,0)+IF('Sprint Results'!$G$5=A8,6,0)+IF('Sprint Results'!$H$5=A8,5,0)+IF('Sprint Results'!$I$5=A8,4,0)+IF('Sprint Results'!$J$5=A8,3,0)+IF('Sprint Results'!$K$5=A8,2,0)+IF('Sprint Results'!$L$5=A8,1,0),0),0)+IFERROR(IF('Race Results'!$E$14=A8,25,0)+IF('Race Results'!$G$14=A8,18,0)+IF('Race Results'!$H$14=A8,15,0)+IF('Race Results'!$I$14=A8,12,0)+IF('Race Results'!$J$14=A8,10,0)+IF('Race Results'!$K$14=A8,8,0)+IF('Race Results'!$L$14=A8,6,0)+IF('Race Results'!$M$14=A8,4,0)+IF('Race Results'!$N$14=A8,2,0)+IF('Race Results'!$O$14=A8,1,0)+IF(AND('Race Results'!$Q$14=A8,'Race Results'!$R$14="Yes"),1,0),0),0)+IFERROR(IF('Race Results'!$E$15=A8,25,0)+IF('Race Results'!$G$15=A8,18,0)+IF('Race Results'!$H$15=A8,15,0)+IF('Race Results'!$I$15=A8,12,0)+IF('Race Results'!$J$15=A8,10,0)+IF('Race Results'!$K$15=A8,8,0)+IF('Race Results'!$L$15=A8,6,0)+IF('Race Results'!$M$15=A8,4,0)+IF('Race Results'!$N$15=A8,2,0)+IF('Race Results'!$O$15=A8,1,0)+IF(AND('Race Results'!$Q$15=A8,'Race Results'!$R$15="Yes"),1,0),0),0)+IFERROR(IF('Race Results'!$E$16=A8,25,0)+IF('Race Results'!$G$16=A8,18,0)+IF('Race Results'!$H$16=A8,15,0)+IF('Race Results'!$I$16=A8,12,0)+IF('Race Results'!$J$16=A8,10,0)+IF('Race Results'!$K$16=A8,8,0)+IF('Race Results'!$L$16=A8,6,0)+IF('Race Results'!$M$16=A8,4,0)+IF('Race Results'!$N$16=A8,2,0)+IF('Race Results'!$O$16=A8,1,0)+IF(AND('Race Results'!$Q$16=A8,'Race Results'!$R$16="Yes"),1,0)+IF('Sprint Results'!$E$6=A8,8,0)+IF('Sprint Results'!$F$6=A8,7,0)+IF('Sprint Results'!$G$6=A8,6,0)+IF('Sprint Results'!$H$6=A8,5,0)+IF('Sprint Results'!$I$6=A8,4,0)+IF('Sprint Results'!$J$6=A8,3,0)+IF('Sprint Results'!$K$6=A8,2,0)+IF('Sprint Results'!$L$6=A8,1,0),0),0)</f>
        <v>15</v>
      </c>
      <c r="Q31" s="1" t="n">
        <f aca="false">IFERROR(IFERROR(IFERROR(IFERROR(IFERROR(IFERROR(IFERROR(IFERROR(IFERROR(IFERROR(IFERROR(IFERROR(IFERROR(IFERROR(IFERROR(IFERROR(IFERROR(IF('Race Results'!$E$2=A8,25,0)+IF('Race Results'!$G$2=A8,18,0)+IF('Race Results'!$H$2=A8,15,0)+IF('Race Results'!$I$2=A8,12,0)+IF('Race Results'!$J$2=A8,10,0)+IF('Race Results'!$K$2=A8,8,0)+IF('Race Results'!$L$2=A8,6,0)+IF('Race Results'!$M$2=A8,4,0)+IF('Race Results'!$N$2=A8,2,0)+IF('Race Results'!$O$2=A8,1,0)+IF(AND('Race Results'!$Q$2=A8,'Race Results'!$R$2="Yes"),1,0),0),0)+IFERROR(IF('Race Results'!$E$3=A8,25,0)+IF('Race Results'!$G$3=A8,18,0)+IF('Race Results'!$H$3=A8,15,0)+IF('Race Results'!$I$3=A8,12,0)+IF('Race Results'!$J$3=A8,10,0)+IF('Race Results'!$K$3=A8,8,0)+IF('Race Results'!$L$3=A8,6,0)+IF('Race Results'!$M$3=A8,4,0)+IF('Race Results'!$N$3=A8,2,0)+IF('Race Results'!$O$3=A8,1,0)+IF(AND('Race Results'!$Q$3=A8,'Race Results'!$R$3="Yes"),1,0)+IF('Sprint Results'!$E$2=A8,8,0)+IF('Sprint Results'!$F$2=A8,7,0)+IF('Sprint Results'!$G$2=A8,6,0)+IF('Sprint Results'!$H$2=A8,5,0)+IF('Sprint Results'!$I$2=A8,4,0)+IF('Sprint Results'!$J$2=A8,3,0)+IF('Sprint Results'!$K$2=A8,2,0)+IF('Sprint Results'!$L$2=A8,1,0),0),0)+IFERROR(IF('Race Results'!$E$4=A8,25,0)+IF('Race Results'!$G$4=A8,18,0)+IF('Race Results'!$H$4=A8,15,0)+IF('Race Results'!$I$4=A8,12,0)+IF('Race Results'!$J$4=A8,10,0)+IF('Race Results'!$K$4=A8,8,0)+IF('Race Results'!$L$4=A8,6,0)+IF('Race Results'!$M$4=A8,4,0)+IF('Race Results'!$N$4=A8,2,0)+IF('Race Results'!$O$4=A8,1,0)+IF(AND('Race Results'!$Q$4=A8,'Race Results'!$R$4="Yes"),1,0),0),0)+IFERROR(IF('Race Results'!$E$5=A8,25,0)+IF('Race Results'!$G$5=A8,18,0)+IF('Race Results'!$H$5=A8,15,0)+IF('Race Results'!$I$5=A8,12,0)+IF('Race Results'!$J$5=A8,10,0)+IF('Race Results'!$K$5=A8,8,0)+IF('Race Results'!$L$5=A8,6,0)+IF('Race Results'!$M$5=A8,4,0)+IF('Race Results'!$N$5=A8,2,0)+IF('Race Results'!$O$5=A8,1,0)+IF(AND('Race Results'!$Q$5=A8,'Race Results'!$R$5="Yes"),1,0),0),0)+IFERROR(IF('Race Results'!$E$6=A8,25,0)+IF('Race Results'!$G$6=A8,18,0)+IF('Race Results'!$H$6=A8,15,0)+IF('Race Results'!$I$6=A8,12,0)+IF('Race Results'!$J$6=A8,10,0)+IF('Race Results'!$K$6=A8,8,0)+IF('Race Results'!$L$6=A8,6,0)+IF('Race Results'!$M$6=A8,4,0)+IF('Race Results'!$N$6=A8,2,0)+IF('Race Results'!$O$6=A8,1,0)+IF(AND('Race Results'!$Q$6=A8,'Race Results'!$R$6="Yes"),1,0),0),0)+IFERROR(IF('Race Results'!$E$7=A8,25,0)+IF('Race Results'!$G$7=A8,18,0)+IF('Race Results'!$H$7=A8,15,0)+IF('Race Results'!$I$7=A8,12,0)+IF('Race Results'!$J$7=A8,10,0)+IF('Race Results'!$K$7=A8,8,0)+IF('Race Results'!$L$7=A8,6,0)+IF('Race Results'!$M$7=A8,4,0)+IF('Race Results'!$N$7=A8,2,0)+IF('Race Results'!$O$7=A8,1,0)+IF(AND('Race Results'!$Q$7=A8,'Race Results'!$R$7="Yes"),1,0)+IF('Sprint Results'!$E$3=A8,8,0)+IF('Sprint Results'!$F$3=A8,7,0)+IF('Sprint Results'!$G$3=A8,6,0)+IF('Sprint Results'!$H$3=A8,5,0)+IF('Sprint Results'!$I$3=A8,4,0)+IF('Sprint Results'!$J$3=A8,3,0)+IF('Sprint Results'!$K$3=A8,2,0)+IF('Sprint Results'!$L$3=A8,1,0),0),0)+IFERROR(IF('Race Results'!$E$8=A8,25,0)+IF('Race Results'!$G$8=A8,18,0)+IF('Race Results'!$H$8=A8,15,0)+IF('Race Results'!$I$8=A8,12,0)+IF('Race Results'!$J$8=A8,10,0)+IF('Race Results'!$K$8=A8,8,0)+IF('Race Results'!$L$8=A8,6,0)+IF('Race Results'!$M$8=A8,4,0)+IF('Race Results'!$N$8=A8,2,0)+IF('Race Results'!$O$8=A8,1,0)+IF(AND('Race Results'!$Q$8=A8,'Race Results'!$R$8="Yes"),1,0)+IF('Sprint Results'!$E$4=A8,8,0)+IF('Sprint Results'!$F$4=A8,7,0)+IF('Sprint Results'!$G$4=A8,6,0)+IF('Sprint Results'!$H$4=A8,5,0)+IF('Sprint Results'!$I$4=A8,4,0)+IF('Sprint Results'!$J$4=A8,3,0)+IF('Sprint Results'!$K$4=A8,2,0)+IF('Sprint Results'!$L$4=A8,1,0),0),0)+IFERROR(IF('Race Results'!$E$9=A8,25,0)+IF('Race Results'!$G$9=A8,18,0)+IF('Race Results'!$H$9=A8,15,0)+IF('Race Results'!$I$9=A8,12,0)+IF('Race Results'!$J$9=A8,10,0)+IF('Race Results'!$K$9=A8,8,0)+IF('Race Results'!$L$9=A8,6,0)+IF('Race Results'!$M$9=A8,4,0)+IF('Race Results'!$N$9=A8,2,0)+IF('Race Results'!$O$9=A8,1,0)+IF(AND('Race Results'!$Q$9=A8,'Race Results'!$R$9="Yes"),1,0),0),0)+IFERROR(IF('Race Results'!$E$10=A8,25,0)+IF('Race Results'!$G$10=A8,18,0)+IF('Race Results'!$H$10=A8,15,0)+IF('Race Results'!$I$10=A8,12,0)+IF('Race Results'!$J$10=A8,10,0)+IF('Race Results'!$K$10=A8,8,0)+IF('Race Results'!$L$10=A8,6,0)+IF('Race Results'!$M$10=A8,4,0)+IF('Race Results'!$N$10=A8,2,0)+IF('Race Results'!$O$10=A8,1,0)+IF(AND('Race Results'!$Q$10=A8,'Race Results'!$R$10="Yes"),1,0),0),0)+IFERROR(IF('Race Results'!$E$11=A8,25,0)+IF('Race Results'!$G$11=A8,18,0)+IF('Race Results'!$H$11=A8,15,0)+IF('Race Results'!$I$11=A8,12,0)+IF('Race Results'!$J$11=A8,10,0)+IF('Race Results'!$K$11=A8,8,0)+IF('Race Results'!$L$11=A8,6,0)+IF('Race Results'!$M$11=A8,4,0)+IF('Race Results'!$N$11=A8,2,0)+IF('Race Results'!$O$11=A8,1,0)+IF(AND('Race Results'!$Q$11=A8,'Race Results'!$R$11="Yes"),1,0),0),0)+IFERROR(IF('Race Results'!$E$12=A8,25,0)+IF('Race Results'!$G$12=A8,18,0)+IF('Race Results'!$H$12=A8,15,0)+IF('Race Results'!$I$12=A8,12,0)+IF('Race Results'!$J$12=A8,10,0)+IF('Race Results'!$K$12=A8,8,0)+IF('Race Results'!$L$12=A8,6,0)+IF('Race Results'!$M$12=A8,4,0)+IF('Race Results'!$N$12=A8,2,0)+IF('Race Results'!$O$12=A8,1,0)+IF(AND('Race Results'!$Q$12=A8,'Race Results'!$R$12="Yes"),1,0),0),0)+IFERROR(IF('Race Results'!$E$13=A8,25,0)+IF('Race Results'!$G$13=A8,18,0)+IF('Race Results'!$H$13=A8,15,0)+IF('Race Results'!$I$13=A8,12,0)+IF('Race Results'!$J$13=A8,10,0)+IF('Race Results'!$K$13=A8,8,0)+IF('Race Results'!$L$13=A8,6,0)+IF('Race Results'!$M$13=A8,4,0)+IF('Race Results'!$N$13=A8,2,0)+IF('Race Results'!$O$13=A8,1,0)+IF(AND('Race Results'!$Q$13=A8,'Race Results'!$R$13="Yes"),1,0)+IF('Sprint Results'!$E$5=A8,8,0)+IF('Sprint Results'!$F$5=A8,7,0)+IF('Sprint Results'!$G$5=A8,6,0)+IF('Sprint Results'!$H$5=A8,5,0)+IF('Sprint Results'!$I$5=A8,4,0)+IF('Sprint Results'!$J$5=A8,3,0)+IF('Sprint Results'!$K$5=A8,2,0)+IF('Sprint Results'!$L$5=A8,1,0),0),0)+IFERROR(IF('Race Results'!$E$14=A8,25,0)+IF('Race Results'!$G$14=A8,18,0)+IF('Race Results'!$H$14=A8,15,0)+IF('Race Results'!$I$14=A8,12,0)+IF('Race Results'!$J$14=A8,10,0)+IF('Race Results'!$K$14=A8,8,0)+IF('Race Results'!$L$14=A8,6,0)+IF('Race Results'!$M$14=A8,4,0)+IF('Race Results'!$N$14=A8,2,0)+IF('Race Results'!$O$14=A8,1,0)+IF(AND('Race Results'!$Q$14=A8,'Race Results'!$R$14="Yes"),1,0),0),0)+IFERROR(IF('Race Results'!$E$15=A8,25,0)+IF('Race Results'!$G$15=A8,18,0)+IF('Race Results'!$H$15=A8,15,0)+IF('Race Results'!$I$15=A8,12,0)+IF('Race Results'!$J$15=A8,10,0)+IF('Race Results'!$K$15=A8,8,0)+IF('Race Results'!$L$15=A8,6,0)+IF('Race Results'!$M$15=A8,4,0)+IF('Race Results'!$N$15=A8,2,0)+IF('Race Results'!$O$15=A8,1,0)+IF(AND('Race Results'!$Q$15=A8,'Race Results'!$R$15="Yes"),1,0),0),0)+IFERROR(IF('Race Results'!$E$16=A8,25,0)+IF('Race Results'!$G$16=A8,18,0)+IF('Race Results'!$H$16=A8,15,0)+IF('Race Results'!$I$16=A8,12,0)+IF('Race Results'!$J$16=A8,10,0)+IF('Race Results'!$K$16=A8,8,0)+IF('Race Results'!$L$16=A8,6,0)+IF('Race Results'!$M$16=A8,4,0)+IF('Race Results'!$N$16=A8,2,0)+IF('Race Results'!$O$16=A8,1,0)+IF(AND('Race Results'!$Q$16=A8,'Race Results'!$R$16="Yes"),1,0)+IF('Sprint Results'!$E$6=A8,8,0)+IF('Sprint Results'!$F$6=A8,7,0)+IF('Sprint Results'!$G$6=A8,6,0)+IF('Sprint Results'!$H$6=A8,5,0)+IF('Sprint Results'!$I$6=A8,4,0)+IF('Sprint Results'!$J$6=A8,3,0)+IF('Sprint Results'!$K$6=A8,2,0)+IF('Sprint Results'!$L$6=A8,1,0),0),0)+IFERROR(IF('Race Results'!$E$17=A8,25,0)+IF('Race Results'!$G$17=A8,18,0)+IF('Race Results'!$H$17=A8,15,0)+IF('Race Results'!$I$17=A8,12,0)+IF('Race Results'!$J$17=A8,10,0)+IF('Race Results'!$K$17=A8,8,0)+IF('Race Results'!$L$17=A8,6,0)+IF('Race Results'!$M$17=A8,4,0)+IF('Race Results'!$N$17=A8,2,0)+IF('Race Results'!$O$17=A8,1,0)+IF(AND('Race Results'!$Q$17=A8,'Race Results'!$R$17="Yes"),1,0),0),0)</f>
        <v>15</v>
      </c>
      <c r="R31" s="1" t="n">
        <v>9</v>
      </c>
      <c r="S31" s="1" t="n">
        <v>9</v>
      </c>
      <c r="T31" s="1" t="n">
        <v>9</v>
      </c>
      <c r="U31" s="1" t="n">
        <v>9</v>
      </c>
      <c r="V31" s="1" t="n">
        <v>9</v>
      </c>
      <c r="W31" s="1" t="n">
        <v>9</v>
      </c>
      <c r="X31" s="1" t="n">
        <v>9</v>
      </c>
      <c r="Y31" s="1" t="n">
        <v>9</v>
      </c>
    </row>
    <row r="32" customFormat="false" ht="14.25" hidden="false" customHeight="true" outlineLevel="0" collapsed="false">
      <c r="A32" s="1" t="s">
        <v>53</v>
      </c>
      <c r="B32" s="1" t="n">
        <f aca="false">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</f>
        <v>8</v>
      </c>
      <c r="C32" s="1" t="n">
        <f aca="false">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</f>
        <v>8</v>
      </c>
      <c r="D32" s="1" t="n">
        <f aca="false">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</f>
        <v>12</v>
      </c>
      <c r="E32" s="1" t="n">
        <f aca="false">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</f>
        <v>12</v>
      </c>
      <c r="F32" s="1" t="n">
        <f aca="false">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</f>
        <v>12</v>
      </c>
      <c r="G32" s="1" t="n">
        <f aca="false">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</f>
        <v>12</v>
      </c>
      <c r="H32" s="1" t="n">
        <f aca="false">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</f>
        <v>12</v>
      </c>
      <c r="I32" s="1" t="n">
        <f aca="false">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</f>
        <v>12</v>
      </c>
      <c r="J32" s="1" t="n">
        <f aca="false">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</f>
        <v>12</v>
      </c>
      <c r="K32" s="1" t="n">
        <f aca="false">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</f>
        <v>12</v>
      </c>
      <c r="L32" s="1" t="n">
        <f aca="false">IFERROR(IFERROR(IFERROR(IFERROR(IFERROR(IFERROR(IFERROR(IFERROR(IFERROR(IFERROR(IFERROR(IFERROR(IF('Race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Results'!$R$11="Yes"),1,0),0),0)+IFERROR(IF('Race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Results'!$R$12="Yes"),1,0),0),0)</f>
        <v>12</v>
      </c>
      <c r="M32" s="1" t="n">
        <f aca="false">IFERROR(IFERROR(IFERROR(IFERROR(IFERROR(IFERROR(IFERROR(IFERROR(IFERROR(IFERROR(IFERROR(IFERROR(IFERROR(IF('Race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Results'!$R$11="Yes"),1,0),0),0)+IFERROR(IF('Race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Results'!$R$12="Yes"),1,0),0),0)+IFERROR(IF('Race Results'!$E$13=A9,25,0)+IF('Race Results'!$G$13=A9,18,0)+IF('Race Results'!$H$13=A9,15,0)+IF('Race Results'!$I$13=A9,12,0)+IF('Race Results'!$J$13=A9,10,0)+IF('Race Results'!$K$13=A9,8,0)+IF('Race Results'!$L$13=A9,6,0)+IF('Race Results'!$M$13=A9,4,0)+IF('Race Results'!$N$13=A9,2,0)+IF('Race Results'!$O$13=A9,1,0)+IF(AND('Race Results'!$Q$13=A9,'Race Results'!$R$13="Yes"),1,0)+IF('Sprint Results'!$E$5=A9,8,0)+IF('Sprint Results'!$F$5=A9,7,0)+IF('Sprint Results'!$G$5=A9,6,0)+IF('Sprint Results'!$H$5=A9,5,0)+IF('Sprint Results'!$I$5=A9,4,0)+IF('Sprint Results'!$J$5=A9,3,0)+IF('Sprint Results'!$K$5=A9,2,0)+IF('Sprint Results'!$L$5=A9,1,0),0),0)</f>
        <v>12</v>
      </c>
      <c r="N32" s="1" t="n">
        <f aca="false">IFERROR(IFERROR(IFERROR(IFERROR(IFERROR(IFERROR(IFERROR(IFERROR(IFERROR(IFERROR(IFERROR(IFERROR(IFERROR(IFERROR(IF('Race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Results'!$R$11="Yes"),1,0),0),0)+IFERROR(IF('Race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Results'!$R$12="Yes"),1,0),0),0)+IFERROR(IF('Race Results'!$E$13=A9,25,0)+IF('Race Results'!$G$13=A9,18,0)+IF('Race Results'!$H$13=A9,15,0)+IF('Race Results'!$I$13=A9,12,0)+IF('Race Results'!$J$13=A9,10,0)+IF('Race Results'!$K$13=A9,8,0)+IF('Race Results'!$L$13=A9,6,0)+IF('Race Results'!$M$13=A9,4,0)+IF('Race Results'!$N$13=A9,2,0)+IF('Race Results'!$O$13=A9,1,0)+IF(AND('Race Results'!$Q$13=A9,'Race Results'!$R$13="Yes"),1,0)+IF('Sprint Results'!$E$5=A9,8,0)+IF('Sprint Results'!$F$5=A9,7,0)+IF('Sprint Results'!$G$5=A9,6,0)+IF('Sprint Results'!$H$5=A9,5,0)+IF('Sprint Results'!$I$5=A9,4,0)+IF('Sprint Results'!$J$5=A9,3,0)+IF('Sprint Results'!$K$5=A9,2,0)+IF('Sprint Results'!$L$5=A9,1,0),0),0)+IFERROR(IF('Race Results'!$E$14=A9,25,0)+IF('Race Results'!$G$14=A9,18,0)+IF('Race Results'!$H$14=A9,15,0)+IF('Race Results'!$I$14=A9,12,0)+IF('Race Results'!$J$14=A9,10,0)+IF('Race Results'!$K$14=A9,8,0)+IF('Race Results'!$L$14=A9,6,0)+IF('Race Results'!$M$14=A9,4,0)+IF('Race Results'!$N$14=A9,2,0)+IF('Race Results'!$O$14=A9,1,0)+IF(AND('Race Results'!$Q$14=A9,'Race Results'!$R$14="Yes"),1,0),0),0)</f>
        <v>12</v>
      </c>
      <c r="O32" s="1" t="n">
        <f aca="false">IFERROR(IFERROR(IFERROR(IFERROR(IFERROR(IFERROR(IFERROR(IFERROR(IFERROR(IFERROR(IFERROR(IFERROR(IFERROR(IFERROR(IFERROR(IF('Race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Results'!$R$11="Yes"),1,0),0),0)+IFERROR(IF('Race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Results'!$R$12="Yes"),1,0),0),0)+IFERROR(IF('Race Results'!$E$13=A9,25,0)+IF('Race Results'!$G$13=A9,18,0)+IF('Race Results'!$H$13=A9,15,0)+IF('Race Results'!$I$13=A9,12,0)+IF('Race Results'!$J$13=A9,10,0)+IF('Race Results'!$K$13=A9,8,0)+IF('Race Results'!$L$13=A9,6,0)+IF('Race Results'!$M$13=A9,4,0)+IF('Race Results'!$N$13=A9,2,0)+IF('Race Results'!$O$13=A9,1,0)+IF(AND('Race Results'!$Q$13=A9,'Race Results'!$R$13="Yes"),1,0)+IF('Sprint Results'!$E$5=A9,8,0)+IF('Sprint Results'!$F$5=A9,7,0)+IF('Sprint Results'!$G$5=A9,6,0)+IF('Sprint Results'!$H$5=A9,5,0)+IF('Sprint Results'!$I$5=A9,4,0)+IF('Sprint Results'!$J$5=A9,3,0)+IF('Sprint Results'!$K$5=A9,2,0)+IF('Sprint Results'!$L$5=A9,1,0),0),0)+IFERROR(IF('Race Results'!$E$14=A9,25,0)+IF('Race Results'!$G$14=A9,18,0)+IF('Race Results'!$H$14=A9,15,0)+IF('Race Results'!$I$14=A9,12,0)+IF('Race Results'!$J$14=A9,10,0)+IF('Race Results'!$K$14=A9,8,0)+IF('Race Results'!$L$14=A9,6,0)+IF('Race Results'!$M$14=A9,4,0)+IF('Race Results'!$N$14=A9,2,0)+IF('Race Results'!$O$14=A9,1,0)+IF(AND('Race Results'!$Q$14=A9,'Race Results'!$R$14="Yes"),1,0),0),0)+IFERROR(IF('Race Results'!$E$15=A9,25,0)+IF('Race Results'!$G$15=A9,18,0)+IF('Race Results'!$H$15=A9,15,0)+IF('Race Results'!$I$15=A9,12,0)+IF('Race Results'!$J$15=A9,10,0)+IF('Race Results'!$K$15=A9,8,0)+IF('Race Results'!$L$15=A9,6,0)+IF('Race Results'!$M$15=A9,4,0)+IF('Race Results'!$N$15=A9,2,0)+IF('Race Results'!$O$15=A9,1,0)+IF(AND('Race Results'!$Q$15=A9,'Race Results'!$R$15="Yes"),1,0),0),0)</f>
        <v>12</v>
      </c>
      <c r="P32" s="1" t="n">
        <f aca="false">IFERROR(IFERROR(IFERROR(IFERROR(IFERROR(IFERROR(IFERROR(IFERROR(IFERROR(IFERROR(IFERROR(IFERROR(IFERROR(IFERROR(IFERROR(IFERROR(IF('Race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Results'!$R$11="Yes"),1,0),0),0)+IFERROR(IF('Race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Results'!$R$12="Yes"),1,0),0),0)+IFERROR(IF('Race Results'!$E$13=A9,25,0)+IF('Race Results'!$G$13=A9,18,0)+IF('Race Results'!$H$13=A9,15,0)+IF('Race Results'!$I$13=A9,12,0)+IF('Race Results'!$J$13=A9,10,0)+IF('Race Results'!$K$13=A9,8,0)+IF('Race Results'!$L$13=A9,6,0)+IF('Race Results'!$M$13=A9,4,0)+IF('Race Results'!$N$13=A9,2,0)+IF('Race Results'!$O$13=A9,1,0)+IF(AND('Race Results'!$Q$13=A9,'Race Results'!$R$13="Yes"),1,0)+IF('Sprint Results'!$E$5=A9,8,0)+IF('Sprint Results'!$F$5=A9,7,0)+IF('Sprint Results'!$G$5=A9,6,0)+IF('Sprint Results'!$H$5=A9,5,0)+IF('Sprint Results'!$I$5=A9,4,0)+IF('Sprint Results'!$J$5=A9,3,0)+IF('Sprint Results'!$K$5=A9,2,0)+IF('Sprint Results'!$L$5=A9,1,0),0),0)+IFERROR(IF('Race Results'!$E$14=A9,25,0)+IF('Race Results'!$G$14=A9,18,0)+IF('Race Results'!$H$14=A9,15,0)+IF('Race Results'!$I$14=A9,12,0)+IF('Race Results'!$J$14=A9,10,0)+IF('Race Results'!$K$14=A9,8,0)+IF('Race Results'!$L$14=A9,6,0)+IF('Race Results'!$M$14=A9,4,0)+IF('Race Results'!$N$14=A9,2,0)+IF('Race Results'!$O$14=A9,1,0)+IF(AND('Race Results'!$Q$14=A9,'Race Results'!$R$14="Yes"),1,0),0),0)+IFERROR(IF('Race Results'!$E$15=A9,25,0)+IF('Race Results'!$G$15=A9,18,0)+IF('Race Results'!$H$15=A9,15,0)+IF('Race Results'!$I$15=A9,12,0)+IF('Race Results'!$J$15=A9,10,0)+IF('Race Results'!$K$15=A9,8,0)+IF('Race Results'!$L$15=A9,6,0)+IF('Race Results'!$M$15=A9,4,0)+IF('Race Results'!$N$15=A9,2,0)+IF('Race Results'!$O$15=A9,1,0)+IF(AND('Race Results'!$Q$15=A9,'Race Results'!$R$15="Yes"),1,0),0),0)+IFERROR(IF('Race Results'!$E$16=A9,25,0)+IF('Race Results'!$G$16=A9,18,0)+IF('Race Results'!$H$16=A9,15,0)+IF('Race Results'!$I$16=A9,12,0)+IF('Race Results'!$J$16=A9,10,0)+IF('Race Results'!$K$16=A9,8,0)+IF('Race Results'!$L$16=A9,6,0)+IF('Race Results'!$M$16=A9,4,0)+IF('Race Results'!$N$16=A9,2,0)+IF('Race Results'!$O$16=A9,1,0)+IF(AND('Race Results'!$Q$16=A9,'Race Results'!$R$16="Yes"),1,0)+IF('Sprint Results'!$E$6=A9,8,0)+IF('Sprint Results'!$F$6=A9,7,0)+IF('Sprint Results'!$G$6=A9,6,0)+IF('Sprint Results'!$H$6=A9,5,0)+IF('Sprint Results'!$I$6=A9,4,0)+IF('Sprint Results'!$J$6=A9,3,0)+IF('Sprint Results'!$K$6=A9,2,0)+IF('Sprint Results'!$L$6=A9,1,0),0),0)</f>
        <v>12</v>
      </c>
      <c r="Q32" s="1" t="n">
        <f aca="false">IFERROR(IFERROR(IFERROR(IFERROR(IFERROR(IFERROR(IFERROR(IFERROR(IFERROR(IFERROR(IFERROR(IFERROR(IFERROR(IFERROR(IFERROR(IFERROR(IFERROR(IF('Race Results'!$E$2=A9,25,0)+IF('Race Results'!$G$2=A9,18,0)+IF('Race Results'!$H$2=A9,15,0)+IF('Race Results'!$I$2=A9,12,0)+IF('Race Results'!$J$2=A9,10,0)+IF('Race Results'!$K$2=A9,8,0)+IF('Race Results'!$L$2=A9,6,0)+IF('Race Results'!$M$2=A9,4,0)+IF('Race Results'!$N$2=A9,2,0)+IF('Race Results'!$O$2=A9,1,0)+IF(AND('Race Results'!$Q$2=A9,'Race Results'!$R$2="Yes"),1,0),0),0)+IFERROR(IF('Race Results'!$E$3=A9,25,0)+IF('Race Results'!$G$3=A9,18,0)+IF('Race Results'!$H$3=A9,15,0)+IF('Race Results'!$I$3=A9,12,0)+IF('Race Results'!$J$3=A9,10,0)+IF('Race Results'!$K$3=A9,8,0)+IF('Race Results'!$L$3=A9,6,0)+IF('Race Results'!$M$3=A9,4,0)+IF('Race Results'!$N$3=A9,2,0)+IF('Race Results'!$O$3=A9,1,0)+IF(AND('Race Results'!$Q$3=A9,'Race Results'!$R$3="Yes"),1,0)+IF('Sprint Results'!$E$2=A9,8,0)+IF('Sprint Results'!$F$2=A9,7,0)+IF('Sprint Results'!$G$2=A9,6,0)+IF('Sprint Results'!$H$2=A9,5,0)+IF('Sprint Results'!$I$2=A9,4,0)+IF('Sprint Results'!$J$2=A9,3,0)+IF('Sprint Results'!$K$2=A9,2,0)+IF('Sprint Results'!$L$2=A9,1,0),0),0)+IFERROR(IF('Race Results'!$E$4=A9,25,0)+IF('Race Results'!$G$4=A9,18,0)+IF('Race Results'!$H$4=A9,15,0)+IF('Race Results'!$I$4=A9,12,0)+IF('Race Results'!$J$4=A9,10,0)+IF('Race Results'!$K$4=A9,8,0)+IF('Race Results'!$L$4=A9,6,0)+IF('Race Results'!$M$4=A9,4,0)+IF('Race Results'!$N$4=A9,2,0)+IF('Race Results'!$O$4=A9,1,0)+IF(AND('Race Results'!$Q$4=A9,'Race Results'!$R$4="Yes"),1,0),0),0)+IFERROR(IF('Race Results'!$E$5=A9,25,0)+IF('Race Results'!$G$5=A9,18,0)+IF('Race Results'!$H$5=A9,15,0)+IF('Race Results'!$I$5=A9,12,0)+IF('Race Results'!$J$5=A9,10,0)+IF('Race Results'!$K$5=A9,8,0)+IF('Race Results'!$L$5=A9,6,0)+IF('Race Results'!$M$5=A9,4,0)+IF('Race Results'!$N$5=A9,2,0)+IF('Race Results'!$O$5=A9,1,0)+IF(AND('Race Results'!$Q$5=A9,'Race Results'!$R$5="Yes"),1,0),0),0)+IFERROR(IF('Race Results'!$E$6=A9,25,0)+IF('Race Results'!$G$6=A9,18,0)+IF('Race Results'!$H$6=A9,15,0)+IF('Race Results'!$I$6=A9,12,0)+IF('Race Results'!$J$6=A9,10,0)+IF('Race Results'!$K$6=A9,8,0)+IF('Race Results'!$L$6=A9,6,0)+IF('Race Results'!$M$6=A9,4,0)+IF('Race Results'!$N$6=A9,2,0)+IF('Race Results'!$O$6=A9,1,0)+IF(AND('Race Results'!$Q$6=A9,'Race Results'!$R$6="Yes"),1,0),0),0)+IFERROR(IF('Race Results'!$E$7=A9,25,0)+IF('Race Results'!$G$7=A9,18,0)+IF('Race Results'!$H$7=A9,15,0)+IF('Race Results'!$I$7=A9,12,0)+IF('Race Results'!$J$7=A9,10,0)+IF('Race Results'!$K$7=A9,8,0)+IF('Race Results'!$L$7=A9,6,0)+IF('Race Results'!$M$7=A9,4,0)+IF('Race Results'!$N$7=A9,2,0)+IF('Race Results'!$O$7=A9,1,0)+IF(AND('Race Results'!$Q$7=A9,'Race Results'!$R$7="Yes"),1,0)+IF('Sprint Results'!$E$3=A9,8,0)+IF('Sprint Results'!$F$3=A9,7,0)+IF('Sprint Results'!$G$3=A9,6,0)+IF('Sprint Results'!$H$3=A9,5,0)+IF('Sprint Results'!$I$3=A9,4,0)+IF('Sprint Results'!$J$3=A9,3,0)+IF('Sprint Results'!$K$3=A9,2,0)+IF('Sprint Results'!$L$3=A9,1,0),0),0)+IFERROR(IF('Race Results'!$E$8=A9,25,0)+IF('Race Results'!$G$8=A9,18,0)+IF('Race Results'!$H$8=A9,15,0)+IF('Race Results'!$I$8=A9,12,0)+IF('Race Results'!$J$8=A9,10,0)+IF('Race Results'!$K$8=A9,8,0)+IF('Race Results'!$L$8=A9,6,0)+IF('Race Results'!$M$8=A9,4,0)+IF('Race Results'!$N$8=A9,2,0)+IF('Race Results'!$O$8=A9,1,0)+IF(AND('Race Results'!$Q$8=A9,'Race Results'!$R$8="Yes"),1,0)+IF('Sprint Results'!$E$4=A9,8,0)+IF('Sprint Results'!$F$4=A9,7,0)+IF('Sprint Results'!$G$4=A9,6,0)+IF('Sprint Results'!$H$4=A9,5,0)+IF('Sprint Results'!$I$4=A9,4,0)+IF('Sprint Results'!$J$4=A9,3,0)+IF('Sprint Results'!$K$4=A9,2,0)+IF('Sprint Results'!$L$4=A9,1,0),0),0)+IFERROR(IF('Race Results'!$E$9=A9,25,0)+IF('Race Results'!$G$9=A9,18,0)+IF('Race Results'!$H$9=A9,15,0)+IF('Race Results'!$I$9=A9,12,0)+IF('Race Results'!$J$9=A9,10,0)+IF('Race Results'!$K$9=A9,8,0)+IF('Race Results'!$L$9=A9,6,0)+IF('Race Results'!$M$9=A9,4,0)+IF('Race Results'!$N$9=A9,2,0)+IF('Race Results'!$O$9=A9,1,0)+IF(AND('Race Results'!$Q$9=A9,'Race Results'!$R$9="Yes"),1,0),0),0)+IFERROR(IF('Race Results'!$E$10=A9,25,0)+IF('Race Results'!$G$10=A9,18,0)+IF('Race Results'!$H$10=A9,15,0)+IF('Race Results'!$I$10=A9,12,0)+IF('Race Results'!$J$10=A9,10,0)+IF('Race Results'!$K$10=A9,8,0)+IF('Race Results'!$L$10=A9,6,0)+IF('Race Results'!$M$10=A9,4,0)+IF('Race Results'!$N$10=A9,2,0)+IF('Race Results'!$O$10=A9,1,0)+IF(AND('Race Results'!$Q$10=A9,'Race Results'!$R$10="Yes"),1,0),0),0)+IFERROR(IF('Race Results'!$E$11=A9,25,0)+IF('Race Results'!$G$11=A9,18,0)+IF('Race Results'!$H$11=A9,15,0)+IF('Race Results'!$I$11=A9,12,0)+IF('Race Results'!$J$11=A9,10,0)+IF('Race Results'!$K$11=A9,8,0)+IF('Race Results'!$L$11=A9,6,0)+IF('Race Results'!$M$11=A9,4,0)+IF('Race Results'!$N$11=A9,2,0)+IF('Race Results'!$O$11=A9,1,0)+IF(AND('Race Results'!$Q$11=A9,'Race Results'!$R$11="Yes"),1,0),0),0)+IFERROR(IF('Race Results'!$E$12=A9,25,0)+IF('Race Results'!$G$12=A9,18,0)+IF('Race Results'!$H$12=A9,15,0)+IF('Race Results'!$I$12=A9,12,0)+IF('Race Results'!$J$12=A9,10,0)+IF('Race Results'!$K$12=A9,8,0)+IF('Race Results'!$L$12=A9,6,0)+IF('Race Results'!$M$12=A9,4,0)+IF('Race Results'!$N$12=A9,2,0)+IF('Race Results'!$O$12=A9,1,0)+IF(AND('Race Results'!$Q$12=A9,'Race Results'!$R$12="Yes"),1,0),0),0)+IFERROR(IF('Race Results'!$E$13=A9,25,0)+IF('Race Results'!$G$13=A9,18,0)+IF('Race Results'!$H$13=A9,15,0)+IF('Race Results'!$I$13=A9,12,0)+IF('Race Results'!$J$13=A9,10,0)+IF('Race Results'!$K$13=A9,8,0)+IF('Race Results'!$L$13=A9,6,0)+IF('Race Results'!$M$13=A9,4,0)+IF('Race Results'!$N$13=A9,2,0)+IF('Race Results'!$O$13=A9,1,0)+IF(AND('Race Results'!$Q$13=A9,'Race Results'!$R$13="Yes"),1,0)+IF('Sprint Results'!$E$5=A9,8,0)+IF('Sprint Results'!$F$5=A9,7,0)+IF('Sprint Results'!$G$5=A9,6,0)+IF('Sprint Results'!$H$5=A9,5,0)+IF('Sprint Results'!$I$5=A9,4,0)+IF('Sprint Results'!$J$5=A9,3,0)+IF('Sprint Results'!$K$5=A9,2,0)+IF('Sprint Results'!$L$5=A9,1,0),0),0)+IFERROR(IF('Race Results'!$E$14=A9,25,0)+IF('Race Results'!$G$14=A9,18,0)+IF('Race Results'!$H$14=A9,15,0)+IF('Race Results'!$I$14=A9,12,0)+IF('Race Results'!$J$14=A9,10,0)+IF('Race Results'!$K$14=A9,8,0)+IF('Race Results'!$L$14=A9,6,0)+IF('Race Results'!$M$14=A9,4,0)+IF('Race Results'!$N$14=A9,2,0)+IF('Race Results'!$O$14=A9,1,0)+IF(AND('Race Results'!$Q$14=A9,'Race Results'!$R$14="Yes"),1,0),0),0)+IFERROR(IF('Race Results'!$E$15=A9,25,0)+IF('Race Results'!$G$15=A9,18,0)+IF('Race Results'!$H$15=A9,15,0)+IF('Race Results'!$I$15=A9,12,0)+IF('Race Results'!$J$15=A9,10,0)+IF('Race Results'!$K$15=A9,8,0)+IF('Race Results'!$L$15=A9,6,0)+IF('Race Results'!$M$15=A9,4,0)+IF('Race Results'!$N$15=A9,2,0)+IF('Race Results'!$O$15=A9,1,0)+IF(AND('Race Results'!$Q$15=A9,'Race Results'!$R$15="Yes"),1,0),0),0)+IFERROR(IF('Race Results'!$E$16=A9,25,0)+IF('Race Results'!$G$16=A9,18,0)+IF('Race Results'!$H$16=A9,15,0)+IF('Race Results'!$I$16=A9,12,0)+IF('Race Results'!$J$16=A9,10,0)+IF('Race Results'!$K$16=A9,8,0)+IF('Race Results'!$L$16=A9,6,0)+IF('Race Results'!$M$16=A9,4,0)+IF('Race Results'!$N$16=A9,2,0)+IF('Race Results'!$O$16=A9,1,0)+IF(AND('Race Results'!$Q$16=A9,'Race Results'!$R$16="Yes"),1,0)+IF('Sprint Results'!$E$6=A9,8,0)+IF('Sprint Results'!$F$6=A9,7,0)+IF('Sprint Results'!$G$6=A9,6,0)+IF('Sprint Results'!$H$6=A9,5,0)+IF('Sprint Results'!$I$6=A9,4,0)+IF('Sprint Results'!$J$6=A9,3,0)+IF('Sprint Results'!$K$6=A9,2,0)+IF('Sprint Results'!$L$6=A9,1,0),0),0)+IFERROR(IF('Race Results'!$E$17=A9,25,0)+IF('Race Results'!$G$17=A9,18,0)+IF('Race Results'!$H$17=A9,15,0)+IF('Race Results'!$I$17=A9,12,0)+IF('Race Results'!$J$17=A9,10,0)+IF('Race Results'!$K$17=A9,8,0)+IF('Race Results'!$L$17=A9,6,0)+IF('Race Results'!$M$17=A9,4,0)+IF('Race Results'!$N$17=A9,2,0)+IF('Race Results'!$O$17=A9,1,0)+IF(AND('Race Results'!$Q$17=A9,'Race Results'!$R$17="Yes"),1,0),0),0)</f>
        <v>12</v>
      </c>
      <c r="R32" s="1" t="n">
        <v>8</v>
      </c>
      <c r="S32" s="1" t="n">
        <v>8</v>
      </c>
      <c r="T32" s="1" t="n">
        <v>8</v>
      </c>
      <c r="U32" s="1" t="n">
        <v>8</v>
      </c>
      <c r="V32" s="1" t="n">
        <v>8</v>
      </c>
      <c r="W32" s="1" t="n">
        <v>8</v>
      </c>
      <c r="X32" s="1" t="n">
        <v>8</v>
      </c>
      <c r="Y32" s="1" t="n">
        <v>8</v>
      </c>
    </row>
    <row r="33" customFormat="false" ht="14.25" hidden="false" customHeight="true" outlineLevel="0" collapsed="false">
      <c r="A33" s="1" t="s">
        <v>61</v>
      </c>
      <c r="B33" s="1" t="n">
        <f aca="false">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</f>
        <v>0</v>
      </c>
      <c r="C33" s="1" t="n">
        <f aca="false">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</f>
        <v>8</v>
      </c>
      <c r="D33" s="1" t="n">
        <f aca="false">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</f>
        <v>10</v>
      </c>
      <c r="E33" s="1" t="n">
        <f aca="false">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</f>
        <v>10</v>
      </c>
      <c r="F33" s="1" t="n">
        <f aca="false">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</f>
        <v>10</v>
      </c>
      <c r="G33" s="1" t="n">
        <f aca="false">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</f>
        <v>10</v>
      </c>
      <c r="H33" s="1" t="n">
        <f aca="false">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</f>
        <v>10</v>
      </c>
      <c r="I33" s="1" t="n">
        <f aca="false">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</f>
        <v>10</v>
      </c>
      <c r="J33" s="1" t="n">
        <f aca="false">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</f>
        <v>10</v>
      </c>
      <c r="K33" s="1" t="n">
        <f aca="false">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</f>
        <v>10</v>
      </c>
      <c r="L33" s="1" t="n">
        <f aca="false">IFERROR(IFERROR(IFERROR(IFERROR(IFERROR(IFERROR(IFERROR(IFERROR(IFERROR(IFERROR(IFERROR(IFERROR(IF('Race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Results'!$R$11="Yes"),1,0),0),0)+IFERROR(IF('Race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Results'!$R$12="Yes"),1,0),0),0)</f>
        <v>10</v>
      </c>
      <c r="M33" s="1" t="n">
        <f aca="false">IFERROR(IFERROR(IFERROR(IFERROR(IFERROR(IFERROR(IFERROR(IFERROR(IFERROR(IFERROR(IFERROR(IFERROR(IFERROR(IF('Race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Results'!$R$11="Yes"),1,0),0),0)+IFERROR(IF('Race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Results'!$R$12="Yes"),1,0),0),0)+IFERROR(IF('Race Results'!$E$13=A10,25,0)+IF('Race Results'!$G$13=A10,18,0)+IF('Race Results'!$H$13=A10,15,0)+IF('Race Results'!$I$13=A10,12,0)+IF('Race Results'!$J$13=A10,10,0)+IF('Race Results'!$K$13=A10,8,0)+IF('Race Results'!$L$13=A10,6,0)+IF('Race Results'!$M$13=A10,4,0)+IF('Race Results'!$N$13=A10,2,0)+IF('Race Results'!$O$13=A10,1,0)+IF(AND('Race Results'!$Q$13=A10,'Race Results'!$R$13="Yes"),1,0)+IF('Sprint Results'!$E$5=A10,8,0)+IF('Sprint Results'!$F$5=A10,7,0)+IF('Sprint Results'!$G$5=A10,6,0)+IF('Sprint Results'!$H$5=A10,5,0)+IF('Sprint Results'!$I$5=A10,4,0)+IF('Sprint Results'!$J$5=A10,3,0)+IF('Sprint Results'!$K$5=A10,2,0)+IF('Sprint Results'!$L$5=A10,1,0),0),0)</f>
        <v>10</v>
      </c>
      <c r="N33" s="1" t="n">
        <f aca="false">IFERROR(IFERROR(IFERROR(IFERROR(IFERROR(IFERROR(IFERROR(IFERROR(IFERROR(IFERROR(IFERROR(IFERROR(IFERROR(IFERROR(IF('Race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Results'!$R$11="Yes"),1,0),0),0)+IFERROR(IF('Race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Results'!$R$12="Yes"),1,0),0),0)+IFERROR(IF('Race Results'!$E$13=A10,25,0)+IF('Race Results'!$G$13=A10,18,0)+IF('Race Results'!$H$13=A10,15,0)+IF('Race Results'!$I$13=A10,12,0)+IF('Race Results'!$J$13=A10,10,0)+IF('Race Results'!$K$13=A10,8,0)+IF('Race Results'!$L$13=A10,6,0)+IF('Race Results'!$M$13=A10,4,0)+IF('Race Results'!$N$13=A10,2,0)+IF('Race Results'!$O$13=A10,1,0)+IF(AND('Race Results'!$Q$13=A10,'Race Results'!$R$13="Yes"),1,0)+IF('Sprint Results'!$E$5=A10,8,0)+IF('Sprint Results'!$F$5=A10,7,0)+IF('Sprint Results'!$G$5=A10,6,0)+IF('Sprint Results'!$H$5=A10,5,0)+IF('Sprint Results'!$I$5=A10,4,0)+IF('Sprint Results'!$J$5=A10,3,0)+IF('Sprint Results'!$K$5=A10,2,0)+IF('Sprint Results'!$L$5=A10,1,0),0),0)+IFERROR(IF('Race Results'!$E$14=A10,25,0)+IF('Race Results'!$G$14=A10,18,0)+IF('Race Results'!$H$14=A10,15,0)+IF('Race Results'!$I$14=A10,12,0)+IF('Race Results'!$J$14=A10,10,0)+IF('Race Results'!$K$14=A10,8,0)+IF('Race Results'!$L$14=A10,6,0)+IF('Race Results'!$M$14=A10,4,0)+IF('Race Results'!$N$14=A10,2,0)+IF('Race Results'!$O$14=A10,1,0)+IF(AND('Race Results'!$Q$14=A10,'Race Results'!$R$14="Yes"),1,0),0),0)</f>
        <v>10</v>
      </c>
      <c r="O33" s="1" t="n">
        <f aca="false">IFERROR(IFERROR(IFERROR(IFERROR(IFERROR(IFERROR(IFERROR(IFERROR(IFERROR(IFERROR(IFERROR(IFERROR(IFERROR(IFERROR(IFERROR(IF('Race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Results'!$R$11="Yes"),1,0),0),0)+IFERROR(IF('Race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Results'!$R$12="Yes"),1,0),0),0)+IFERROR(IF('Race Results'!$E$13=A10,25,0)+IF('Race Results'!$G$13=A10,18,0)+IF('Race Results'!$H$13=A10,15,0)+IF('Race Results'!$I$13=A10,12,0)+IF('Race Results'!$J$13=A10,10,0)+IF('Race Results'!$K$13=A10,8,0)+IF('Race Results'!$L$13=A10,6,0)+IF('Race Results'!$M$13=A10,4,0)+IF('Race Results'!$N$13=A10,2,0)+IF('Race Results'!$O$13=A10,1,0)+IF(AND('Race Results'!$Q$13=A10,'Race Results'!$R$13="Yes"),1,0)+IF('Sprint Results'!$E$5=A10,8,0)+IF('Sprint Results'!$F$5=A10,7,0)+IF('Sprint Results'!$G$5=A10,6,0)+IF('Sprint Results'!$H$5=A10,5,0)+IF('Sprint Results'!$I$5=A10,4,0)+IF('Sprint Results'!$J$5=A10,3,0)+IF('Sprint Results'!$K$5=A10,2,0)+IF('Sprint Results'!$L$5=A10,1,0),0),0)+IFERROR(IF('Race Results'!$E$14=A10,25,0)+IF('Race Results'!$G$14=A10,18,0)+IF('Race Results'!$H$14=A10,15,0)+IF('Race Results'!$I$14=A10,12,0)+IF('Race Results'!$J$14=A10,10,0)+IF('Race Results'!$K$14=A10,8,0)+IF('Race Results'!$L$14=A10,6,0)+IF('Race Results'!$M$14=A10,4,0)+IF('Race Results'!$N$14=A10,2,0)+IF('Race Results'!$O$14=A10,1,0)+IF(AND('Race Results'!$Q$14=A10,'Race Results'!$R$14="Yes"),1,0),0),0)+IFERROR(IF('Race Results'!$E$15=A10,25,0)+IF('Race Results'!$G$15=A10,18,0)+IF('Race Results'!$H$15=A10,15,0)+IF('Race Results'!$I$15=A10,12,0)+IF('Race Results'!$J$15=A10,10,0)+IF('Race Results'!$K$15=A10,8,0)+IF('Race Results'!$L$15=A10,6,0)+IF('Race Results'!$M$15=A10,4,0)+IF('Race Results'!$N$15=A10,2,0)+IF('Race Results'!$O$15=A10,1,0)+IF(AND('Race Results'!$Q$15=A10,'Race Results'!$R$15="Yes"),1,0),0),0)</f>
        <v>10</v>
      </c>
      <c r="P33" s="1" t="n">
        <f aca="false">IFERROR(IFERROR(IFERROR(IFERROR(IFERROR(IFERROR(IFERROR(IFERROR(IFERROR(IFERROR(IFERROR(IFERROR(IFERROR(IFERROR(IFERROR(IFERROR(IF('Race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Results'!$R$11="Yes"),1,0),0),0)+IFERROR(IF('Race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Results'!$R$12="Yes"),1,0),0),0)+IFERROR(IF('Race Results'!$E$13=A10,25,0)+IF('Race Results'!$G$13=A10,18,0)+IF('Race Results'!$H$13=A10,15,0)+IF('Race Results'!$I$13=A10,12,0)+IF('Race Results'!$J$13=A10,10,0)+IF('Race Results'!$K$13=A10,8,0)+IF('Race Results'!$L$13=A10,6,0)+IF('Race Results'!$M$13=A10,4,0)+IF('Race Results'!$N$13=A10,2,0)+IF('Race Results'!$O$13=A10,1,0)+IF(AND('Race Results'!$Q$13=A10,'Race Results'!$R$13="Yes"),1,0)+IF('Sprint Results'!$E$5=A10,8,0)+IF('Sprint Results'!$F$5=A10,7,0)+IF('Sprint Results'!$G$5=A10,6,0)+IF('Sprint Results'!$H$5=A10,5,0)+IF('Sprint Results'!$I$5=A10,4,0)+IF('Sprint Results'!$J$5=A10,3,0)+IF('Sprint Results'!$K$5=A10,2,0)+IF('Sprint Results'!$L$5=A10,1,0),0),0)+IFERROR(IF('Race Results'!$E$14=A10,25,0)+IF('Race Results'!$G$14=A10,18,0)+IF('Race Results'!$H$14=A10,15,0)+IF('Race Results'!$I$14=A10,12,0)+IF('Race Results'!$J$14=A10,10,0)+IF('Race Results'!$K$14=A10,8,0)+IF('Race Results'!$L$14=A10,6,0)+IF('Race Results'!$M$14=A10,4,0)+IF('Race Results'!$N$14=A10,2,0)+IF('Race Results'!$O$14=A10,1,0)+IF(AND('Race Results'!$Q$14=A10,'Race Results'!$R$14="Yes"),1,0),0),0)+IFERROR(IF('Race Results'!$E$15=A10,25,0)+IF('Race Results'!$G$15=A10,18,0)+IF('Race Results'!$H$15=A10,15,0)+IF('Race Results'!$I$15=A10,12,0)+IF('Race Results'!$J$15=A10,10,0)+IF('Race Results'!$K$15=A10,8,0)+IF('Race Results'!$L$15=A10,6,0)+IF('Race Results'!$M$15=A10,4,0)+IF('Race Results'!$N$15=A10,2,0)+IF('Race Results'!$O$15=A10,1,0)+IF(AND('Race Results'!$Q$15=A10,'Race Results'!$R$15="Yes"),1,0),0),0)+IFERROR(IF('Race Results'!$E$16=A10,25,0)+IF('Race Results'!$G$16=A10,18,0)+IF('Race Results'!$H$16=A10,15,0)+IF('Race Results'!$I$16=A10,12,0)+IF('Race Results'!$J$16=A10,10,0)+IF('Race Results'!$K$16=A10,8,0)+IF('Race Results'!$L$16=A10,6,0)+IF('Race Results'!$M$16=A10,4,0)+IF('Race Results'!$N$16=A10,2,0)+IF('Race Results'!$O$16=A10,1,0)+IF(AND('Race Results'!$Q$16=A10,'Race Results'!$R$16="Yes"),1,0)+IF('Sprint Results'!$E$6=A10,8,0)+IF('Sprint Results'!$F$6=A10,7,0)+IF('Sprint Results'!$G$6=A10,6,0)+IF('Sprint Results'!$H$6=A10,5,0)+IF('Sprint Results'!$I$6=A10,4,0)+IF('Sprint Results'!$J$6=A10,3,0)+IF('Sprint Results'!$K$6=A10,2,0)+IF('Sprint Results'!$L$6=A10,1,0),0),0)</f>
        <v>10</v>
      </c>
      <c r="Q33" s="1" t="n">
        <f aca="false">IFERROR(IFERROR(IFERROR(IFERROR(IFERROR(IFERROR(IFERROR(IFERROR(IFERROR(IFERROR(IFERROR(IFERROR(IFERROR(IFERROR(IFERROR(IFERROR(IFERROR(IF('Race Results'!$E$2=A10,25,0)+IF('Race Results'!$G$2=A10,18,0)+IF('Race Results'!$H$2=A10,15,0)+IF('Race Results'!$I$2=A10,12,0)+IF('Race Results'!$J$2=A10,10,0)+IF('Race Results'!$K$2=A10,8,0)+IF('Race Results'!$L$2=A10,6,0)+IF('Race Results'!$M$2=A10,4,0)+IF('Race Results'!$N$2=A10,2,0)+IF('Race Results'!$O$2=A10,1,0)+IF(AND('Race Results'!$Q$2=A10,'Race Results'!$R$2="Yes"),1,0),0),0)+IFERROR(IF('Race Results'!$E$3=A10,25,0)+IF('Race Results'!$G$3=A10,18,0)+IF('Race Results'!$H$3=A10,15,0)+IF('Race Results'!$I$3=A10,12,0)+IF('Race Results'!$J$3=A10,10,0)+IF('Race Results'!$K$3=A10,8,0)+IF('Race Results'!$L$3=A10,6,0)+IF('Race Results'!$M$3=A10,4,0)+IF('Race Results'!$N$3=A10,2,0)+IF('Race Results'!$O$3=A10,1,0)+IF(AND('Race Results'!$Q$3=A10,'Race Results'!$R$3="Yes"),1,0)+IF('Sprint Results'!$E$2=A10,8,0)+IF('Sprint Results'!$F$2=A10,7,0)+IF('Sprint Results'!$G$2=A10,6,0)+IF('Sprint Results'!$H$2=A10,5,0)+IF('Sprint Results'!$I$2=A10,4,0)+IF('Sprint Results'!$J$2=A10,3,0)+IF('Sprint Results'!$K$2=A10,2,0)+IF('Sprint Results'!$L$2=A10,1,0),0),0)+IFERROR(IF('Race Results'!$E$4=A10,25,0)+IF('Race Results'!$G$4=A10,18,0)+IF('Race Results'!$H$4=A10,15,0)+IF('Race Results'!$I$4=A10,12,0)+IF('Race Results'!$J$4=A10,10,0)+IF('Race Results'!$K$4=A10,8,0)+IF('Race Results'!$L$4=A10,6,0)+IF('Race Results'!$M$4=A10,4,0)+IF('Race Results'!$N$4=A10,2,0)+IF('Race Results'!$O$4=A10,1,0)+IF(AND('Race Results'!$Q$4=A10,'Race Results'!$R$4="Yes"),1,0),0),0)+IFERROR(IF('Race Results'!$E$5=A10,25,0)+IF('Race Results'!$G$5=A10,18,0)+IF('Race Results'!$H$5=A10,15,0)+IF('Race Results'!$I$5=A10,12,0)+IF('Race Results'!$J$5=A10,10,0)+IF('Race Results'!$K$5=A10,8,0)+IF('Race Results'!$L$5=A10,6,0)+IF('Race Results'!$M$5=A10,4,0)+IF('Race Results'!$N$5=A10,2,0)+IF('Race Results'!$O$5=A10,1,0)+IF(AND('Race Results'!$Q$5=A10,'Race Results'!$R$5="Yes"),1,0),0),0)+IFERROR(IF('Race Results'!$E$6=A10,25,0)+IF('Race Results'!$G$6=A10,18,0)+IF('Race Results'!$H$6=A10,15,0)+IF('Race Results'!$I$6=A10,12,0)+IF('Race Results'!$J$6=A10,10,0)+IF('Race Results'!$K$6=A10,8,0)+IF('Race Results'!$L$6=A10,6,0)+IF('Race Results'!$M$6=A10,4,0)+IF('Race Results'!$N$6=A10,2,0)+IF('Race Results'!$O$6=A10,1,0)+IF(AND('Race Results'!$Q$6=A10,'Race Results'!$R$6="Yes"),1,0),0),0)+IFERROR(IF('Race Results'!$E$7=A10,25,0)+IF('Race Results'!$G$7=A10,18,0)+IF('Race Results'!$H$7=A10,15,0)+IF('Race Results'!$I$7=A10,12,0)+IF('Race Results'!$J$7=A10,10,0)+IF('Race Results'!$K$7=A10,8,0)+IF('Race Results'!$L$7=A10,6,0)+IF('Race Results'!$M$7=A10,4,0)+IF('Race Results'!$N$7=A10,2,0)+IF('Race Results'!$O$7=A10,1,0)+IF(AND('Race Results'!$Q$7=A10,'Race Results'!$R$7="Yes"),1,0)+IF('Sprint Results'!$E$3=A10,8,0)+IF('Sprint Results'!$F$3=A10,7,0)+IF('Sprint Results'!$G$3=A10,6,0)+IF('Sprint Results'!$H$3=A10,5,0)+IF('Sprint Results'!$I$3=A10,4,0)+IF('Sprint Results'!$J$3=A10,3,0)+IF('Sprint Results'!$K$3=A10,2,0)+IF('Sprint Results'!$L$3=A10,1,0),0),0)+IFERROR(IF('Race Results'!$E$8=A10,25,0)+IF('Race Results'!$G$8=A10,18,0)+IF('Race Results'!$H$8=A10,15,0)+IF('Race Results'!$I$8=A10,12,0)+IF('Race Results'!$J$8=A10,10,0)+IF('Race Results'!$K$8=A10,8,0)+IF('Race Results'!$L$8=A10,6,0)+IF('Race Results'!$M$8=A10,4,0)+IF('Race Results'!$N$8=A10,2,0)+IF('Race Results'!$O$8=A10,1,0)+IF(AND('Race Results'!$Q$8=A10,'Race Results'!$R$8="Yes"),1,0)+IF('Sprint Results'!$E$4=A10,8,0)+IF('Sprint Results'!$F$4=A10,7,0)+IF('Sprint Results'!$G$4=A10,6,0)+IF('Sprint Results'!$H$4=A10,5,0)+IF('Sprint Results'!$I$4=A10,4,0)+IF('Sprint Results'!$J$4=A10,3,0)+IF('Sprint Results'!$K$4=A10,2,0)+IF('Sprint Results'!$L$4=A10,1,0),0),0)+IFERROR(IF('Race Results'!$E$9=A10,25,0)+IF('Race Results'!$G$9=A10,18,0)+IF('Race Results'!$H$9=A10,15,0)+IF('Race Results'!$I$9=A10,12,0)+IF('Race Results'!$J$9=A10,10,0)+IF('Race Results'!$K$9=A10,8,0)+IF('Race Results'!$L$9=A10,6,0)+IF('Race Results'!$M$9=A10,4,0)+IF('Race Results'!$N$9=A10,2,0)+IF('Race Results'!$O$9=A10,1,0)+IF(AND('Race Results'!$Q$9=A10,'Race Results'!$R$9="Yes"),1,0),0),0)+IFERROR(IF('Race Results'!$E$10=A10,25,0)+IF('Race Results'!$G$10=A10,18,0)+IF('Race Results'!$H$10=A10,15,0)+IF('Race Results'!$I$10=A10,12,0)+IF('Race Results'!$J$10=A10,10,0)+IF('Race Results'!$K$10=A10,8,0)+IF('Race Results'!$L$10=A10,6,0)+IF('Race Results'!$M$10=A10,4,0)+IF('Race Results'!$N$10=A10,2,0)+IF('Race Results'!$O$10=A10,1,0)+IF(AND('Race Results'!$Q$10=A10,'Race Results'!$R$10="Yes"),1,0),0),0)+IFERROR(IF('Race Results'!$E$11=A10,25,0)+IF('Race Results'!$G$11=A10,18,0)+IF('Race Results'!$H$11=A10,15,0)+IF('Race Results'!$I$11=A10,12,0)+IF('Race Results'!$J$11=A10,10,0)+IF('Race Results'!$K$11=A10,8,0)+IF('Race Results'!$L$11=A10,6,0)+IF('Race Results'!$M$11=A10,4,0)+IF('Race Results'!$N$11=A10,2,0)+IF('Race Results'!$O$11=A10,1,0)+IF(AND('Race Results'!$Q$11=A10,'Race Results'!$R$11="Yes"),1,0),0),0)+IFERROR(IF('Race Results'!$E$12=A10,25,0)+IF('Race Results'!$G$12=A10,18,0)+IF('Race Results'!$H$12=A10,15,0)+IF('Race Results'!$I$12=A10,12,0)+IF('Race Results'!$J$12=A10,10,0)+IF('Race Results'!$K$12=A10,8,0)+IF('Race Results'!$L$12=A10,6,0)+IF('Race Results'!$M$12=A10,4,0)+IF('Race Results'!$N$12=A10,2,0)+IF('Race Results'!$O$12=A10,1,0)+IF(AND('Race Results'!$Q$12=A10,'Race Results'!$R$12="Yes"),1,0),0),0)+IFERROR(IF('Race Results'!$E$13=A10,25,0)+IF('Race Results'!$G$13=A10,18,0)+IF('Race Results'!$H$13=A10,15,0)+IF('Race Results'!$I$13=A10,12,0)+IF('Race Results'!$J$13=A10,10,0)+IF('Race Results'!$K$13=A10,8,0)+IF('Race Results'!$L$13=A10,6,0)+IF('Race Results'!$M$13=A10,4,0)+IF('Race Results'!$N$13=A10,2,0)+IF('Race Results'!$O$13=A10,1,0)+IF(AND('Race Results'!$Q$13=A10,'Race Results'!$R$13="Yes"),1,0)+IF('Sprint Results'!$E$5=A10,8,0)+IF('Sprint Results'!$F$5=A10,7,0)+IF('Sprint Results'!$G$5=A10,6,0)+IF('Sprint Results'!$H$5=A10,5,0)+IF('Sprint Results'!$I$5=A10,4,0)+IF('Sprint Results'!$J$5=A10,3,0)+IF('Sprint Results'!$K$5=A10,2,0)+IF('Sprint Results'!$L$5=A10,1,0),0),0)+IFERROR(IF('Race Results'!$E$14=A10,25,0)+IF('Race Results'!$G$14=A10,18,0)+IF('Race Results'!$H$14=A10,15,0)+IF('Race Results'!$I$14=A10,12,0)+IF('Race Results'!$J$14=A10,10,0)+IF('Race Results'!$K$14=A10,8,0)+IF('Race Results'!$L$14=A10,6,0)+IF('Race Results'!$M$14=A10,4,0)+IF('Race Results'!$N$14=A10,2,0)+IF('Race Results'!$O$14=A10,1,0)+IF(AND('Race Results'!$Q$14=A10,'Race Results'!$R$14="Yes"),1,0),0),0)+IFERROR(IF('Race Results'!$E$15=A10,25,0)+IF('Race Results'!$G$15=A10,18,0)+IF('Race Results'!$H$15=A10,15,0)+IF('Race Results'!$I$15=A10,12,0)+IF('Race Results'!$J$15=A10,10,0)+IF('Race Results'!$K$15=A10,8,0)+IF('Race Results'!$L$15=A10,6,0)+IF('Race Results'!$M$15=A10,4,0)+IF('Race Results'!$N$15=A10,2,0)+IF('Race Results'!$O$15=A10,1,0)+IF(AND('Race Results'!$Q$15=A10,'Race Results'!$R$15="Yes"),1,0),0),0)+IFERROR(IF('Race Results'!$E$16=A10,25,0)+IF('Race Results'!$G$16=A10,18,0)+IF('Race Results'!$H$16=A10,15,0)+IF('Race Results'!$I$16=A10,12,0)+IF('Race Results'!$J$16=A10,10,0)+IF('Race Results'!$K$16=A10,8,0)+IF('Race Results'!$L$16=A10,6,0)+IF('Race Results'!$M$16=A10,4,0)+IF('Race Results'!$N$16=A10,2,0)+IF('Race Results'!$O$16=A10,1,0)+IF(AND('Race Results'!$Q$16=A10,'Race Results'!$R$16="Yes"),1,0)+IF('Sprint Results'!$E$6=A10,8,0)+IF('Sprint Results'!$F$6=A10,7,0)+IF('Sprint Results'!$G$6=A10,6,0)+IF('Sprint Results'!$H$6=A10,5,0)+IF('Sprint Results'!$I$6=A10,4,0)+IF('Sprint Results'!$J$6=A10,3,0)+IF('Sprint Results'!$K$6=A10,2,0)+IF('Sprint Results'!$L$6=A10,1,0),0),0)+IFERROR(IF('Race Results'!$E$17=A10,25,0)+IF('Race Results'!$G$17=A10,18,0)+IF('Race Results'!$H$17=A10,15,0)+IF('Race Results'!$I$17=A10,12,0)+IF('Race Results'!$J$17=A10,10,0)+IF('Race Results'!$K$17=A10,8,0)+IF('Race Results'!$L$17=A10,6,0)+IF('Race Results'!$M$17=A10,4,0)+IF('Race Results'!$N$17=A10,2,0)+IF('Race Results'!$O$17=A10,1,0)+IF(AND('Race Results'!$Q$17=A10,'Race Results'!$R$17="Yes"),1,0),0),0)</f>
        <v>10</v>
      </c>
      <c r="R33" s="1" t="n">
        <v>8</v>
      </c>
      <c r="S33" s="1" t="n">
        <v>8</v>
      </c>
      <c r="T33" s="1" t="n">
        <v>8</v>
      </c>
      <c r="U33" s="1" t="n">
        <v>8</v>
      </c>
      <c r="V33" s="1" t="n">
        <v>8</v>
      </c>
      <c r="W33" s="1" t="n">
        <v>8</v>
      </c>
      <c r="X33" s="1" t="n">
        <v>8</v>
      </c>
      <c r="Y33" s="1" t="n">
        <v>8</v>
      </c>
    </row>
    <row r="34" customFormat="false" ht="14.25" hidden="false" customHeight="true" outlineLevel="0" collapsed="false">
      <c r="A34" s="1" t="s">
        <v>62</v>
      </c>
      <c r="B34" s="1" t="n">
        <f aca="false">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</f>
        <v>0</v>
      </c>
      <c r="C34" s="1" t="n">
        <f aca="false">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</f>
        <v>4</v>
      </c>
      <c r="D34" s="1" t="n">
        <f aca="false">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</f>
        <v>4</v>
      </c>
      <c r="E34" s="1" t="n">
        <f aca="false">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</f>
        <v>4</v>
      </c>
      <c r="F34" s="1" t="n">
        <f aca="false">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</f>
        <v>4</v>
      </c>
      <c r="G34" s="1" t="n">
        <f aca="false">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</f>
        <v>4</v>
      </c>
      <c r="H34" s="1" t="n">
        <f aca="false">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</f>
        <v>4</v>
      </c>
      <c r="I34" s="1" t="n">
        <f aca="false">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</f>
        <v>4</v>
      </c>
      <c r="J34" s="1" t="n">
        <f aca="false">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</f>
        <v>4</v>
      </c>
      <c r="K34" s="1" t="n">
        <f aca="false">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</f>
        <v>4</v>
      </c>
      <c r="L34" s="1" t="n">
        <f aca="false">IFERROR(IFERROR(IFERROR(IFERROR(IFERROR(IFERROR(IFERROR(IFERROR(IFERROR(IFERROR(IFERROR(IFERROR(IF('Race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Results'!$R$11="Yes"),1,0),0),0)+IFERROR(IF('Race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Results'!$R$12="Yes"),1,0),0),0)</f>
        <v>4</v>
      </c>
      <c r="M34" s="1" t="n">
        <f aca="false">IFERROR(IFERROR(IFERROR(IFERROR(IFERROR(IFERROR(IFERROR(IFERROR(IFERROR(IFERROR(IFERROR(IFERROR(IFERROR(IF('Race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Results'!$R$11="Yes"),1,0),0),0)+IFERROR(IF('Race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Results'!$R$12="Yes"),1,0),0),0)+IFERROR(IF('Race Results'!$E$13=A11,25,0)+IF('Race Results'!$G$13=A11,18,0)+IF('Race Results'!$H$13=A11,15,0)+IF('Race Results'!$I$13=A11,12,0)+IF('Race Results'!$J$13=A11,10,0)+IF('Race Results'!$K$13=A11,8,0)+IF('Race Results'!$L$13=A11,6,0)+IF('Race Results'!$M$13=A11,4,0)+IF('Race Results'!$N$13=A11,2,0)+IF('Race Results'!$O$13=A11,1,0)+IF(AND('Race Results'!$Q$13=A11,'Race Results'!$R$13="Yes"),1,0)+IF('Sprint Results'!$E$5=A11,8,0)+IF('Sprint Results'!$F$5=A11,7,0)+IF('Sprint Results'!$G$5=A11,6,0)+IF('Sprint Results'!$H$5=A11,5,0)+IF('Sprint Results'!$I$5=A11,4,0)+IF('Sprint Results'!$J$5=A11,3,0)+IF('Sprint Results'!$K$5=A11,2,0)+IF('Sprint Results'!$L$5=A11,1,0),0),0)</f>
        <v>4</v>
      </c>
      <c r="N34" s="1" t="n">
        <f aca="false">IFERROR(IFERROR(IFERROR(IFERROR(IFERROR(IFERROR(IFERROR(IFERROR(IFERROR(IFERROR(IFERROR(IFERROR(IFERROR(IFERROR(IF('Race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Results'!$R$11="Yes"),1,0),0),0)+IFERROR(IF('Race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Results'!$R$12="Yes"),1,0),0),0)+IFERROR(IF('Race Results'!$E$13=A11,25,0)+IF('Race Results'!$G$13=A11,18,0)+IF('Race Results'!$H$13=A11,15,0)+IF('Race Results'!$I$13=A11,12,0)+IF('Race Results'!$J$13=A11,10,0)+IF('Race Results'!$K$13=A11,8,0)+IF('Race Results'!$L$13=A11,6,0)+IF('Race Results'!$M$13=A11,4,0)+IF('Race Results'!$N$13=A11,2,0)+IF('Race Results'!$O$13=A11,1,0)+IF(AND('Race Results'!$Q$13=A11,'Race Results'!$R$13="Yes"),1,0)+IF('Sprint Results'!$E$5=A11,8,0)+IF('Sprint Results'!$F$5=A11,7,0)+IF('Sprint Results'!$G$5=A11,6,0)+IF('Sprint Results'!$H$5=A11,5,0)+IF('Sprint Results'!$I$5=A11,4,0)+IF('Sprint Results'!$J$5=A11,3,0)+IF('Sprint Results'!$K$5=A11,2,0)+IF('Sprint Results'!$L$5=A11,1,0),0),0)+IFERROR(IF('Race Results'!$E$14=A11,25,0)+IF('Race Results'!$G$14=A11,18,0)+IF('Race Results'!$H$14=A11,15,0)+IF('Race Results'!$I$14=A11,12,0)+IF('Race Results'!$J$14=A11,10,0)+IF('Race Results'!$K$14=A11,8,0)+IF('Race Results'!$L$14=A11,6,0)+IF('Race Results'!$M$14=A11,4,0)+IF('Race Results'!$N$14=A11,2,0)+IF('Race Results'!$O$14=A11,1,0)+IF(AND('Race Results'!$Q$14=A11,'Race Results'!$R$14="Yes"),1,0),0),0)</f>
        <v>4</v>
      </c>
      <c r="O34" s="1" t="n">
        <f aca="false">IFERROR(IFERROR(IFERROR(IFERROR(IFERROR(IFERROR(IFERROR(IFERROR(IFERROR(IFERROR(IFERROR(IFERROR(IFERROR(IFERROR(IFERROR(IF('Race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Results'!$R$11="Yes"),1,0),0),0)+IFERROR(IF('Race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Results'!$R$12="Yes"),1,0),0),0)+IFERROR(IF('Race Results'!$E$13=A11,25,0)+IF('Race Results'!$G$13=A11,18,0)+IF('Race Results'!$H$13=A11,15,0)+IF('Race Results'!$I$13=A11,12,0)+IF('Race Results'!$J$13=A11,10,0)+IF('Race Results'!$K$13=A11,8,0)+IF('Race Results'!$L$13=A11,6,0)+IF('Race Results'!$M$13=A11,4,0)+IF('Race Results'!$N$13=A11,2,0)+IF('Race Results'!$O$13=A11,1,0)+IF(AND('Race Results'!$Q$13=A11,'Race Results'!$R$13="Yes"),1,0)+IF('Sprint Results'!$E$5=A11,8,0)+IF('Sprint Results'!$F$5=A11,7,0)+IF('Sprint Results'!$G$5=A11,6,0)+IF('Sprint Results'!$H$5=A11,5,0)+IF('Sprint Results'!$I$5=A11,4,0)+IF('Sprint Results'!$J$5=A11,3,0)+IF('Sprint Results'!$K$5=A11,2,0)+IF('Sprint Results'!$L$5=A11,1,0),0),0)+IFERROR(IF('Race Results'!$E$14=A11,25,0)+IF('Race Results'!$G$14=A11,18,0)+IF('Race Results'!$H$14=A11,15,0)+IF('Race Results'!$I$14=A11,12,0)+IF('Race Results'!$J$14=A11,10,0)+IF('Race Results'!$K$14=A11,8,0)+IF('Race Results'!$L$14=A11,6,0)+IF('Race Results'!$M$14=A11,4,0)+IF('Race Results'!$N$14=A11,2,0)+IF('Race Results'!$O$14=A11,1,0)+IF(AND('Race Results'!$Q$14=A11,'Race Results'!$R$14="Yes"),1,0),0),0)+IFERROR(IF('Race Results'!$E$15=A11,25,0)+IF('Race Results'!$G$15=A11,18,0)+IF('Race Results'!$H$15=A11,15,0)+IF('Race Results'!$I$15=A11,12,0)+IF('Race Results'!$J$15=A11,10,0)+IF('Race Results'!$K$15=A11,8,0)+IF('Race Results'!$L$15=A11,6,0)+IF('Race Results'!$M$15=A11,4,0)+IF('Race Results'!$N$15=A11,2,0)+IF('Race Results'!$O$15=A11,1,0)+IF(AND('Race Results'!$Q$15=A11,'Race Results'!$R$15="Yes"),1,0),0),0)</f>
        <v>4</v>
      </c>
      <c r="P34" s="1" t="n">
        <f aca="false">IFERROR(IFERROR(IFERROR(IFERROR(IFERROR(IFERROR(IFERROR(IFERROR(IFERROR(IFERROR(IFERROR(IFERROR(IFERROR(IFERROR(IFERROR(IFERROR(IF('Race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Results'!$R$11="Yes"),1,0),0),0)+IFERROR(IF('Race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Results'!$R$12="Yes"),1,0),0),0)+IFERROR(IF('Race Results'!$E$13=A11,25,0)+IF('Race Results'!$G$13=A11,18,0)+IF('Race Results'!$H$13=A11,15,0)+IF('Race Results'!$I$13=A11,12,0)+IF('Race Results'!$J$13=A11,10,0)+IF('Race Results'!$K$13=A11,8,0)+IF('Race Results'!$L$13=A11,6,0)+IF('Race Results'!$M$13=A11,4,0)+IF('Race Results'!$N$13=A11,2,0)+IF('Race Results'!$O$13=A11,1,0)+IF(AND('Race Results'!$Q$13=A11,'Race Results'!$R$13="Yes"),1,0)+IF('Sprint Results'!$E$5=A11,8,0)+IF('Sprint Results'!$F$5=A11,7,0)+IF('Sprint Results'!$G$5=A11,6,0)+IF('Sprint Results'!$H$5=A11,5,0)+IF('Sprint Results'!$I$5=A11,4,0)+IF('Sprint Results'!$J$5=A11,3,0)+IF('Sprint Results'!$K$5=A11,2,0)+IF('Sprint Results'!$L$5=A11,1,0),0),0)+IFERROR(IF('Race Results'!$E$14=A11,25,0)+IF('Race Results'!$G$14=A11,18,0)+IF('Race Results'!$H$14=A11,15,0)+IF('Race Results'!$I$14=A11,12,0)+IF('Race Results'!$J$14=A11,10,0)+IF('Race Results'!$K$14=A11,8,0)+IF('Race Results'!$L$14=A11,6,0)+IF('Race Results'!$M$14=A11,4,0)+IF('Race Results'!$N$14=A11,2,0)+IF('Race Results'!$O$14=A11,1,0)+IF(AND('Race Results'!$Q$14=A11,'Race Results'!$R$14="Yes"),1,0),0),0)+IFERROR(IF('Race Results'!$E$15=A11,25,0)+IF('Race Results'!$G$15=A11,18,0)+IF('Race Results'!$H$15=A11,15,0)+IF('Race Results'!$I$15=A11,12,0)+IF('Race Results'!$J$15=A11,10,0)+IF('Race Results'!$K$15=A11,8,0)+IF('Race Results'!$L$15=A11,6,0)+IF('Race Results'!$M$15=A11,4,0)+IF('Race Results'!$N$15=A11,2,0)+IF('Race Results'!$O$15=A11,1,0)+IF(AND('Race Results'!$Q$15=A11,'Race Results'!$R$15="Yes"),1,0),0),0)+IFERROR(IF('Race Results'!$E$16=A11,25,0)+IF('Race Results'!$G$16=A11,18,0)+IF('Race Results'!$H$16=A11,15,0)+IF('Race Results'!$I$16=A11,12,0)+IF('Race Results'!$J$16=A11,10,0)+IF('Race Results'!$K$16=A11,8,0)+IF('Race Results'!$L$16=A11,6,0)+IF('Race Results'!$M$16=A11,4,0)+IF('Race Results'!$N$16=A11,2,0)+IF('Race Results'!$O$16=A11,1,0)+IF(AND('Race Results'!$Q$16=A11,'Race Results'!$R$16="Yes"),1,0)+IF('Sprint Results'!$E$6=A11,8,0)+IF('Sprint Results'!$F$6=A11,7,0)+IF('Sprint Results'!$G$6=A11,6,0)+IF('Sprint Results'!$H$6=A11,5,0)+IF('Sprint Results'!$I$6=A11,4,0)+IF('Sprint Results'!$J$6=A11,3,0)+IF('Sprint Results'!$K$6=A11,2,0)+IF('Sprint Results'!$L$6=A11,1,0),0),0)</f>
        <v>4</v>
      </c>
      <c r="Q34" s="1" t="n">
        <f aca="false">IFERROR(IFERROR(IFERROR(IFERROR(IFERROR(IFERROR(IFERROR(IFERROR(IFERROR(IFERROR(IFERROR(IFERROR(IFERROR(IFERROR(IFERROR(IFERROR(IFERROR(IF('Race Results'!$E$2=A11,25,0)+IF('Race Results'!$G$2=A11,18,0)+IF('Race Results'!$H$2=A11,15,0)+IF('Race Results'!$I$2=A11,12,0)+IF('Race Results'!$J$2=A11,10,0)+IF('Race Results'!$K$2=A11,8,0)+IF('Race Results'!$L$2=A11,6,0)+IF('Race Results'!$M$2=A11,4,0)+IF('Race Results'!$N$2=A11,2,0)+IF('Race Results'!$O$2=A11,1,0)+IF(AND('Race Results'!$Q$2=A11,'Race Results'!$R$2="Yes"),1,0),0),0)+IFERROR(IF('Race Results'!$E$3=A11,25,0)+IF('Race Results'!$G$3=A11,18,0)+IF('Race Results'!$H$3=A11,15,0)+IF('Race Results'!$I$3=A11,12,0)+IF('Race Results'!$J$3=A11,10,0)+IF('Race Results'!$K$3=A11,8,0)+IF('Race Results'!$L$3=A11,6,0)+IF('Race Results'!$M$3=A11,4,0)+IF('Race Results'!$N$3=A11,2,0)+IF('Race Results'!$O$3=A11,1,0)+IF(AND('Race Results'!$Q$3=A11,'Race Results'!$R$3="Yes"),1,0)+IF('Sprint Results'!$E$2=A11,8,0)+IF('Sprint Results'!$F$2=A11,7,0)+IF('Sprint Results'!$G$2=A11,6,0)+IF('Sprint Results'!$H$2=A11,5,0)+IF('Sprint Results'!$I$2=A11,4,0)+IF('Sprint Results'!$J$2=A11,3,0)+IF('Sprint Results'!$K$2=A11,2,0)+IF('Sprint Results'!$L$2=A11,1,0),0),0)+IFERROR(IF('Race Results'!$E$4=A11,25,0)+IF('Race Results'!$G$4=A11,18,0)+IF('Race Results'!$H$4=A11,15,0)+IF('Race Results'!$I$4=A11,12,0)+IF('Race Results'!$J$4=A11,10,0)+IF('Race Results'!$K$4=A11,8,0)+IF('Race Results'!$L$4=A11,6,0)+IF('Race Results'!$M$4=A11,4,0)+IF('Race Results'!$N$4=A11,2,0)+IF('Race Results'!$O$4=A11,1,0)+IF(AND('Race Results'!$Q$4=A11,'Race Results'!$R$4="Yes"),1,0),0),0)+IFERROR(IF('Race Results'!$E$5=A11,25,0)+IF('Race Results'!$G$5=A11,18,0)+IF('Race Results'!$H$5=A11,15,0)+IF('Race Results'!$I$5=A11,12,0)+IF('Race Results'!$J$5=A11,10,0)+IF('Race Results'!$K$5=A11,8,0)+IF('Race Results'!$L$5=A11,6,0)+IF('Race Results'!$M$5=A11,4,0)+IF('Race Results'!$N$5=A11,2,0)+IF('Race Results'!$O$5=A11,1,0)+IF(AND('Race Results'!$Q$5=A11,'Race Results'!$R$5="Yes"),1,0),0),0)+IFERROR(IF('Race Results'!$E$6=A11,25,0)+IF('Race Results'!$G$6=A11,18,0)+IF('Race Results'!$H$6=A11,15,0)+IF('Race Results'!$I$6=A11,12,0)+IF('Race Results'!$J$6=A11,10,0)+IF('Race Results'!$K$6=A11,8,0)+IF('Race Results'!$L$6=A11,6,0)+IF('Race Results'!$M$6=A11,4,0)+IF('Race Results'!$N$6=A11,2,0)+IF('Race Results'!$O$6=A11,1,0)+IF(AND('Race Results'!$Q$6=A11,'Race Results'!$R$6="Yes"),1,0),0),0)+IFERROR(IF('Race Results'!$E$7=A11,25,0)+IF('Race Results'!$G$7=A11,18,0)+IF('Race Results'!$H$7=A11,15,0)+IF('Race Results'!$I$7=A11,12,0)+IF('Race Results'!$J$7=A11,10,0)+IF('Race Results'!$K$7=A11,8,0)+IF('Race Results'!$L$7=A11,6,0)+IF('Race Results'!$M$7=A11,4,0)+IF('Race Results'!$N$7=A11,2,0)+IF('Race Results'!$O$7=A11,1,0)+IF(AND('Race Results'!$Q$7=A11,'Race Results'!$R$7="Yes"),1,0)+IF('Sprint Results'!$E$3=A11,8,0)+IF('Sprint Results'!$F$3=A11,7,0)+IF('Sprint Results'!$G$3=A11,6,0)+IF('Sprint Results'!$H$3=A11,5,0)+IF('Sprint Results'!$I$3=A11,4,0)+IF('Sprint Results'!$J$3=A11,3,0)+IF('Sprint Results'!$K$3=A11,2,0)+IF('Sprint Results'!$L$3=A11,1,0),0),0)+IFERROR(IF('Race Results'!$E$8=A11,25,0)+IF('Race Results'!$G$8=A11,18,0)+IF('Race Results'!$H$8=A11,15,0)+IF('Race Results'!$I$8=A11,12,0)+IF('Race Results'!$J$8=A11,10,0)+IF('Race Results'!$K$8=A11,8,0)+IF('Race Results'!$L$8=A11,6,0)+IF('Race Results'!$M$8=A11,4,0)+IF('Race Results'!$N$8=A11,2,0)+IF('Race Results'!$O$8=A11,1,0)+IF(AND('Race Results'!$Q$8=A11,'Race Results'!$R$8="Yes"),1,0)+IF('Sprint Results'!$E$4=A11,8,0)+IF('Sprint Results'!$F$4=A11,7,0)+IF('Sprint Results'!$G$4=A11,6,0)+IF('Sprint Results'!$H$4=A11,5,0)+IF('Sprint Results'!$I$4=A11,4,0)+IF('Sprint Results'!$J$4=A11,3,0)+IF('Sprint Results'!$K$4=A11,2,0)+IF('Sprint Results'!$L$4=A11,1,0),0),0)+IFERROR(IF('Race Results'!$E$9=A11,25,0)+IF('Race Results'!$G$9=A11,18,0)+IF('Race Results'!$H$9=A11,15,0)+IF('Race Results'!$I$9=A11,12,0)+IF('Race Results'!$J$9=A11,10,0)+IF('Race Results'!$K$9=A11,8,0)+IF('Race Results'!$L$9=A11,6,0)+IF('Race Results'!$M$9=A11,4,0)+IF('Race Results'!$N$9=A11,2,0)+IF('Race Results'!$O$9=A11,1,0)+IF(AND('Race Results'!$Q$9=A11,'Race Results'!$R$9="Yes"),1,0),0),0)+IFERROR(IF('Race Results'!$E$10=A11,25,0)+IF('Race Results'!$G$10=A11,18,0)+IF('Race Results'!$H$10=A11,15,0)+IF('Race Results'!$I$10=A11,12,0)+IF('Race Results'!$J$10=A11,10,0)+IF('Race Results'!$K$10=A11,8,0)+IF('Race Results'!$L$10=A11,6,0)+IF('Race Results'!$M$10=A11,4,0)+IF('Race Results'!$N$10=A11,2,0)+IF('Race Results'!$O$10=A11,1,0)+IF(AND('Race Results'!$Q$10=A11,'Race Results'!$R$10="Yes"),1,0),0),0)+IFERROR(IF('Race Results'!$E$11=A11,25,0)+IF('Race Results'!$G$11=A11,18,0)+IF('Race Results'!$H$11=A11,15,0)+IF('Race Results'!$I$11=A11,12,0)+IF('Race Results'!$J$11=A11,10,0)+IF('Race Results'!$K$11=A11,8,0)+IF('Race Results'!$L$11=A11,6,0)+IF('Race Results'!$M$11=A11,4,0)+IF('Race Results'!$N$11=A11,2,0)+IF('Race Results'!$O$11=A11,1,0)+IF(AND('Race Results'!$Q$11=A11,'Race Results'!$R$11="Yes"),1,0),0),0)+IFERROR(IF('Race Results'!$E$12=A11,25,0)+IF('Race Results'!$G$12=A11,18,0)+IF('Race Results'!$H$12=A11,15,0)+IF('Race Results'!$I$12=A11,12,0)+IF('Race Results'!$J$12=A11,10,0)+IF('Race Results'!$K$12=A11,8,0)+IF('Race Results'!$L$12=A11,6,0)+IF('Race Results'!$M$12=A11,4,0)+IF('Race Results'!$N$12=A11,2,0)+IF('Race Results'!$O$12=A11,1,0)+IF(AND('Race Results'!$Q$12=A11,'Race Results'!$R$12="Yes"),1,0),0),0)+IFERROR(IF('Race Results'!$E$13=A11,25,0)+IF('Race Results'!$G$13=A11,18,0)+IF('Race Results'!$H$13=A11,15,0)+IF('Race Results'!$I$13=A11,12,0)+IF('Race Results'!$J$13=A11,10,0)+IF('Race Results'!$K$13=A11,8,0)+IF('Race Results'!$L$13=A11,6,0)+IF('Race Results'!$M$13=A11,4,0)+IF('Race Results'!$N$13=A11,2,0)+IF('Race Results'!$O$13=A11,1,0)+IF(AND('Race Results'!$Q$13=A11,'Race Results'!$R$13="Yes"),1,0)+IF('Sprint Results'!$E$5=A11,8,0)+IF('Sprint Results'!$F$5=A11,7,0)+IF('Sprint Results'!$G$5=A11,6,0)+IF('Sprint Results'!$H$5=A11,5,0)+IF('Sprint Results'!$I$5=A11,4,0)+IF('Sprint Results'!$J$5=A11,3,0)+IF('Sprint Results'!$K$5=A11,2,0)+IF('Sprint Results'!$L$5=A11,1,0),0),0)+IFERROR(IF('Race Results'!$E$14=A11,25,0)+IF('Race Results'!$G$14=A11,18,0)+IF('Race Results'!$H$14=A11,15,0)+IF('Race Results'!$I$14=A11,12,0)+IF('Race Results'!$J$14=A11,10,0)+IF('Race Results'!$K$14=A11,8,0)+IF('Race Results'!$L$14=A11,6,0)+IF('Race Results'!$M$14=A11,4,0)+IF('Race Results'!$N$14=A11,2,0)+IF('Race Results'!$O$14=A11,1,0)+IF(AND('Race Results'!$Q$14=A11,'Race Results'!$R$14="Yes"),1,0),0),0)+IFERROR(IF('Race Results'!$E$15=A11,25,0)+IF('Race Results'!$G$15=A11,18,0)+IF('Race Results'!$H$15=A11,15,0)+IF('Race Results'!$I$15=A11,12,0)+IF('Race Results'!$J$15=A11,10,0)+IF('Race Results'!$K$15=A11,8,0)+IF('Race Results'!$L$15=A11,6,0)+IF('Race Results'!$M$15=A11,4,0)+IF('Race Results'!$N$15=A11,2,0)+IF('Race Results'!$O$15=A11,1,0)+IF(AND('Race Results'!$Q$15=A11,'Race Results'!$R$15="Yes"),1,0),0),0)+IFERROR(IF('Race Results'!$E$16=A11,25,0)+IF('Race Results'!$G$16=A11,18,0)+IF('Race Results'!$H$16=A11,15,0)+IF('Race Results'!$I$16=A11,12,0)+IF('Race Results'!$J$16=A11,10,0)+IF('Race Results'!$K$16=A11,8,0)+IF('Race Results'!$L$16=A11,6,0)+IF('Race Results'!$M$16=A11,4,0)+IF('Race Results'!$N$16=A11,2,0)+IF('Race Results'!$O$16=A11,1,0)+IF(AND('Race Results'!$Q$16=A11,'Race Results'!$R$16="Yes"),1,0)+IF('Sprint Results'!$E$6=A11,8,0)+IF('Sprint Results'!$F$6=A11,7,0)+IF('Sprint Results'!$G$6=A11,6,0)+IF('Sprint Results'!$H$6=A11,5,0)+IF('Sprint Results'!$I$6=A11,4,0)+IF('Sprint Results'!$J$6=A11,3,0)+IF('Sprint Results'!$K$6=A11,2,0)+IF('Sprint Results'!$L$6=A11,1,0),0),0)+IFERROR(IF('Race Results'!$E$17=A11,25,0)+IF('Race Results'!$G$17=A11,18,0)+IF('Race Results'!$H$17=A11,15,0)+IF('Race Results'!$I$17=A11,12,0)+IF('Race Results'!$J$17=A11,10,0)+IF('Race Results'!$K$17=A11,8,0)+IF('Race Results'!$L$17=A11,6,0)+IF('Race Results'!$M$17=A11,4,0)+IF('Race Results'!$N$17=A11,2,0)+IF('Race Results'!$O$17=A11,1,0)+IF(AND('Race Results'!$Q$17=A11,'Race Results'!$R$17="Yes"),1,0),0),0)</f>
        <v>4</v>
      </c>
      <c r="R34" s="1" t="n">
        <v>4</v>
      </c>
      <c r="S34" s="1" t="n">
        <v>4</v>
      </c>
      <c r="T34" s="1" t="n">
        <v>4</v>
      </c>
      <c r="U34" s="1" t="n">
        <v>4</v>
      </c>
      <c r="V34" s="1" t="n">
        <v>4</v>
      </c>
      <c r="W34" s="1" t="n">
        <v>4</v>
      </c>
      <c r="X34" s="1" t="n">
        <v>4</v>
      </c>
      <c r="Y34" s="1" t="n">
        <v>4</v>
      </c>
    </row>
    <row r="35" customFormat="false" ht="14.25" hidden="false" customHeight="true" outlineLevel="0" collapsed="false">
      <c r="A35" s="1" t="s">
        <v>55</v>
      </c>
      <c r="B35" s="1" t="n">
        <f aca="false">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</f>
        <v>4</v>
      </c>
      <c r="C35" s="1" t="n">
        <f aca="false">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</f>
        <v>4</v>
      </c>
      <c r="D35" s="1" t="n">
        <f aca="false">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</f>
        <v>4</v>
      </c>
      <c r="E35" s="1" t="n">
        <f aca="false">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</f>
        <v>4</v>
      </c>
      <c r="F35" s="1" t="n">
        <f aca="false">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</f>
        <v>4</v>
      </c>
      <c r="G35" s="1" t="n">
        <f aca="false">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</f>
        <v>4</v>
      </c>
      <c r="H35" s="1" t="n">
        <f aca="false">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</f>
        <v>4</v>
      </c>
      <c r="I35" s="1" t="n">
        <f aca="false">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</f>
        <v>4</v>
      </c>
      <c r="J35" s="1" t="n">
        <f aca="false">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</f>
        <v>4</v>
      </c>
      <c r="K35" s="1" t="n">
        <f aca="false">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</f>
        <v>4</v>
      </c>
      <c r="L35" s="1" t="n">
        <f aca="false">IFERROR(IFERROR(IFERROR(IFERROR(IFERROR(IFERROR(IFERROR(IFERROR(IFERROR(IFERROR(IFERROR(IFERROR(IF('Race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Results'!$R$11="Yes"),1,0),0),0)+IFERROR(IF('Race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Results'!$R$12="Yes"),1,0),0),0)</f>
        <v>4</v>
      </c>
      <c r="M35" s="1" t="n">
        <f aca="false">IFERROR(IFERROR(IFERROR(IFERROR(IFERROR(IFERROR(IFERROR(IFERROR(IFERROR(IFERROR(IFERROR(IFERROR(IFERROR(IF('Race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Results'!$R$11="Yes"),1,0),0),0)+IFERROR(IF('Race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Results'!$R$12="Yes"),1,0),0),0)+IFERROR(IF('Race Results'!$E$13=A12,25,0)+IF('Race Results'!$G$13=A12,18,0)+IF('Race Results'!$H$13=A12,15,0)+IF('Race Results'!$I$13=A12,12,0)+IF('Race Results'!$J$13=A12,10,0)+IF('Race Results'!$K$13=A12,8,0)+IF('Race Results'!$L$13=A12,6,0)+IF('Race Results'!$M$13=A12,4,0)+IF('Race Results'!$N$13=A12,2,0)+IF('Race Results'!$O$13=A12,1,0)+IF(AND('Race Results'!$Q$13=A12,'Race Results'!$R$13="Yes"),1,0)+IF('Sprint Results'!$E$5=A12,8,0)+IF('Sprint Results'!$F$5=A12,7,0)+IF('Sprint Results'!$G$5=A12,6,0)+IF('Sprint Results'!$H$5=A12,5,0)+IF('Sprint Results'!$I$5=A12,4,0)+IF('Sprint Results'!$J$5=A12,3,0)+IF('Sprint Results'!$K$5=A12,2,0)+IF('Sprint Results'!$L$5=A12,1,0),0),0)</f>
        <v>4</v>
      </c>
      <c r="N35" s="1" t="n">
        <f aca="false">IFERROR(IFERROR(IFERROR(IFERROR(IFERROR(IFERROR(IFERROR(IFERROR(IFERROR(IFERROR(IFERROR(IFERROR(IFERROR(IFERROR(IF('Race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Results'!$R$11="Yes"),1,0),0),0)+IFERROR(IF('Race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Results'!$R$12="Yes"),1,0),0),0)+IFERROR(IF('Race Results'!$E$13=A12,25,0)+IF('Race Results'!$G$13=A12,18,0)+IF('Race Results'!$H$13=A12,15,0)+IF('Race Results'!$I$13=A12,12,0)+IF('Race Results'!$J$13=A12,10,0)+IF('Race Results'!$K$13=A12,8,0)+IF('Race Results'!$L$13=A12,6,0)+IF('Race Results'!$M$13=A12,4,0)+IF('Race Results'!$N$13=A12,2,0)+IF('Race Results'!$O$13=A12,1,0)+IF(AND('Race Results'!$Q$13=A12,'Race Results'!$R$13="Yes"),1,0)+IF('Sprint Results'!$E$5=A12,8,0)+IF('Sprint Results'!$F$5=A12,7,0)+IF('Sprint Results'!$G$5=A12,6,0)+IF('Sprint Results'!$H$5=A12,5,0)+IF('Sprint Results'!$I$5=A12,4,0)+IF('Sprint Results'!$J$5=A12,3,0)+IF('Sprint Results'!$K$5=A12,2,0)+IF('Sprint Results'!$L$5=A12,1,0),0),0)+IFERROR(IF('Race Results'!$E$14=A12,25,0)+IF('Race Results'!$G$14=A12,18,0)+IF('Race Results'!$H$14=A12,15,0)+IF('Race Results'!$I$14=A12,12,0)+IF('Race Results'!$J$14=A12,10,0)+IF('Race Results'!$K$14=A12,8,0)+IF('Race Results'!$L$14=A12,6,0)+IF('Race Results'!$M$14=A12,4,0)+IF('Race Results'!$N$14=A12,2,0)+IF('Race Results'!$O$14=A12,1,0)+IF(AND('Race Results'!$Q$14=A12,'Race Results'!$R$14="Yes"),1,0),0),0)</f>
        <v>4</v>
      </c>
      <c r="O35" s="1" t="n">
        <f aca="false">IFERROR(IFERROR(IFERROR(IFERROR(IFERROR(IFERROR(IFERROR(IFERROR(IFERROR(IFERROR(IFERROR(IFERROR(IFERROR(IFERROR(IFERROR(IF('Race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Results'!$R$11="Yes"),1,0),0),0)+IFERROR(IF('Race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Results'!$R$12="Yes"),1,0),0),0)+IFERROR(IF('Race Results'!$E$13=A12,25,0)+IF('Race Results'!$G$13=A12,18,0)+IF('Race Results'!$H$13=A12,15,0)+IF('Race Results'!$I$13=A12,12,0)+IF('Race Results'!$J$13=A12,10,0)+IF('Race Results'!$K$13=A12,8,0)+IF('Race Results'!$L$13=A12,6,0)+IF('Race Results'!$M$13=A12,4,0)+IF('Race Results'!$N$13=A12,2,0)+IF('Race Results'!$O$13=A12,1,0)+IF(AND('Race Results'!$Q$13=A12,'Race Results'!$R$13="Yes"),1,0)+IF('Sprint Results'!$E$5=A12,8,0)+IF('Sprint Results'!$F$5=A12,7,0)+IF('Sprint Results'!$G$5=A12,6,0)+IF('Sprint Results'!$H$5=A12,5,0)+IF('Sprint Results'!$I$5=A12,4,0)+IF('Sprint Results'!$J$5=A12,3,0)+IF('Sprint Results'!$K$5=A12,2,0)+IF('Sprint Results'!$L$5=A12,1,0),0),0)+IFERROR(IF('Race Results'!$E$14=A12,25,0)+IF('Race Results'!$G$14=A12,18,0)+IF('Race Results'!$H$14=A12,15,0)+IF('Race Results'!$I$14=A12,12,0)+IF('Race Results'!$J$14=A12,10,0)+IF('Race Results'!$K$14=A12,8,0)+IF('Race Results'!$L$14=A12,6,0)+IF('Race Results'!$M$14=A12,4,0)+IF('Race Results'!$N$14=A12,2,0)+IF('Race Results'!$O$14=A12,1,0)+IF(AND('Race Results'!$Q$14=A12,'Race Results'!$R$14="Yes"),1,0),0),0)+IFERROR(IF('Race Results'!$E$15=A12,25,0)+IF('Race Results'!$G$15=A12,18,0)+IF('Race Results'!$H$15=A12,15,0)+IF('Race Results'!$I$15=A12,12,0)+IF('Race Results'!$J$15=A12,10,0)+IF('Race Results'!$K$15=A12,8,0)+IF('Race Results'!$L$15=A12,6,0)+IF('Race Results'!$M$15=A12,4,0)+IF('Race Results'!$N$15=A12,2,0)+IF('Race Results'!$O$15=A12,1,0)+IF(AND('Race Results'!$Q$15=A12,'Race Results'!$R$15="Yes"),1,0),0),0)</f>
        <v>4</v>
      </c>
      <c r="P35" s="1" t="n">
        <f aca="false">IFERROR(IFERROR(IFERROR(IFERROR(IFERROR(IFERROR(IFERROR(IFERROR(IFERROR(IFERROR(IFERROR(IFERROR(IFERROR(IFERROR(IFERROR(IFERROR(IF('Race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Results'!$R$11="Yes"),1,0),0),0)+IFERROR(IF('Race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Results'!$R$12="Yes"),1,0),0),0)+IFERROR(IF('Race Results'!$E$13=A12,25,0)+IF('Race Results'!$G$13=A12,18,0)+IF('Race Results'!$H$13=A12,15,0)+IF('Race Results'!$I$13=A12,12,0)+IF('Race Results'!$J$13=A12,10,0)+IF('Race Results'!$K$13=A12,8,0)+IF('Race Results'!$L$13=A12,6,0)+IF('Race Results'!$M$13=A12,4,0)+IF('Race Results'!$N$13=A12,2,0)+IF('Race Results'!$O$13=A12,1,0)+IF(AND('Race Results'!$Q$13=A12,'Race Results'!$R$13="Yes"),1,0)+IF('Sprint Results'!$E$5=A12,8,0)+IF('Sprint Results'!$F$5=A12,7,0)+IF('Sprint Results'!$G$5=A12,6,0)+IF('Sprint Results'!$H$5=A12,5,0)+IF('Sprint Results'!$I$5=A12,4,0)+IF('Sprint Results'!$J$5=A12,3,0)+IF('Sprint Results'!$K$5=A12,2,0)+IF('Sprint Results'!$L$5=A12,1,0),0),0)+IFERROR(IF('Race Results'!$E$14=A12,25,0)+IF('Race Results'!$G$14=A12,18,0)+IF('Race Results'!$H$14=A12,15,0)+IF('Race Results'!$I$14=A12,12,0)+IF('Race Results'!$J$14=A12,10,0)+IF('Race Results'!$K$14=A12,8,0)+IF('Race Results'!$L$14=A12,6,0)+IF('Race Results'!$M$14=A12,4,0)+IF('Race Results'!$N$14=A12,2,0)+IF('Race Results'!$O$14=A12,1,0)+IF(AND('Race Results'!$Q$14=A12,'Race Results'!$R$14="Yes"),1,0),0),0)+IFERROR(IF('Race Results'!$E$15=A12,25,0)+IF('Race Results'!$G$15=A12,18,0)+IF('Race Results'!$H$15=A12,15,0)+IF('Race Results'!$I$15=A12,12,0)+IF('Race Results'!$J$15=A12,10,0)+IF('Race Results'!$K$15=A12,8,0)+IF('Race Results'!$L$15=A12,6,0)+IF('Race Results'!$M$15=A12,4,0)+IF('Race Results'!$N$15=A12,2,0)+IF('Race Results'!$O$15=A12,1,0)+IF(AND('Race Results'!$Q$15=A12,'Race Results'!$R$15="Yes"),1,0),0),0)+IFERROR(IF('Race Results'!$E$16=A12,25,0)+IF('Race Results'!$G$16=A12,18,0)+IF('Race Results'!$H$16=A12,15,0)+IF('Race Results'!$I$16=A12,12,0)+IF('Race Results'!$J$16=A12,10,0)+IF('Race Results'!$K$16=A12,8,0)+IF('Race Results'!$L$16=A12,6,0)+IF('Race Results'!$M$16=A12,4,0)+IF('Race Results'!$N$16=A12,2,0)+IF('Race Results'!$O$16=A12,1,0)+IF(AND('Race Results'!$Q$16=A12,'Race Results'!$R$16="Yes"),1,0)+IF('Sprint Results'!$E$6=A12,8,0)+IF('Sprint Results'!$F$6=A12,7,0)+IF('Sprint Results'!$G$6=A12,6,0)+IF('Sprint Results'!$H$6=A12,5,0)+IF('Sprint Results'!$I$6=A12,4,0)+IF('Sprint Results'!$J$6=A12,3,0)+IF('Sprint Results'!$K$6=A12,2,0)+IF('Sprint Results'!$L$6=A12,1,0),0),0)</f>
        <v>4</v>
      </c>
      <c r="Q35" s="1" t="n">
        <f aca="false">IFERROR(IFERROR(IFERROR(IFERROR(IFERROR(IFERROR(IFERROR(IFERROR(IFERROR(IFERROR(IFERROR(IFERROR(IFERROR(IFERROR(IFERROR(IFERROR(IFERROR(IF('Race Results'!$E$2=A12,25,0)+IF('Race Results'!$G$2=A12,18,0)+IF('Race Results'!$H$2=A12,15,0)+IF('Race Results'!$I$2=A12,12,0)+IF('Race Results'!$J$2=A12,10,0)+IF('Race Results'!$K$2=A12,8,0)+IF('Race Results'!$L$2=A12,6,0)+IF('Race Results'!$M$2=A12,4,0)+IF('Race Results'!$N$2=A12,2,0)+IF('Race Results'!$O$2=A12,1,0)+IF(AND('Race Results'!$Q$2=A12,'Race Results'!$R$2="Yes"),1,0),0),0)+IFERROR(IF('Race Results'!$E$3=A12,25,0)+IF('Race Results'!$G$3=A12,18,0)+IF('Race Results'!$H$3=A12,15,0)+IF('Race Results'!$I$3=A12,12,0)+IF('Race Results'!$J$3=A12,10,0)+IF('Race Results'!$K$3=A12,8,0)+IF('Race Results'!$L$3=A12,6,0)+IF('Race Results'!$M$3=A12,4,0)+IF('Race Results'!$N$3=A12,2,0)+IF('Race Results'!$O$3=A12,1,0)+IF(AND('Race Results'!$Q$3=A12,'Race Results'!$R$3="Yes"),1,0)+IF('Sprint Results'!$E$2=A12,8,0)+IF('Sprint Results'!$F$2=A12,7,0)+IF('Sprint Results'!$G$2=A12,6,0)+IF('Sprint Results'!$H$2=A12,5,0)+IF('Sprint Results'!$I$2=A12,4,0)+IF('Sprint Results'!$J$2=A12,3,0)+IF('Sprint Results'!$K$2=A12,2,0)+IF('Sprint Results'!$L$2=A12,1,0),0),0)+IFERROR(IF('Race Results'!$E$4=A12,25,0)+IF('Race Results'!$G$4=A12,18,0)+IF('Race Results'!$H$4=A12,15,0)+IF('Race Results'!$I$4=A12,12,0)+IF('Race Results'!$J$4=A12,10,0)+IF('Race Results'!$K$4=A12,8,0)+IF('Race Results'!$L$4=A12,6,0)+IF('Race Results'!$M$4=A12,4,0)+IF('Race Results'!$N$4=A12,2,0)+IF('Race Results'!$O$4=A12,1,0)+IF(AND('Race Results'!$Q$4=A12,'Race Results'!$R$4="Yes"),1,0),0),0)+IFERROR(IF('Race Results'!$E$5=A12,25,0)+IF('Race Results'!$G$5=A12,18,0)+IF('Race Results'!$H$5=A12,15,0)+IF('Race Results'!$I$5=A12,12,0)+IF('Race Results'!$J$5=A12,10,0)+IF('Race Results'!$K$5=A12,8,0)+IF('Race Results'!$L$5=A12,6,0)+IF('Race Results'!$M$5=A12,4,0)+IF('Race Results'!$N$5=A12,2,0)+IF('Race Results'!$O$5=A12,1,0)+IF(AND('Race Results'!$Q$5=A12,'Race Results'!$R$5="Yes"),1,0),0),0)+IFERROR(IF('Race Results'!$E$6=A12,25,0)+IF('Race Results'!$G$6=A12,18,0)+IF('Race Results'!$H$6=A12,15,0)+IF('Race Results'!$I$6=A12,12,0)+IF('Race Results'!$J$6=A12,10,0)+IF('Race Results'!$K$6=A12,8,0)+IF('Race Results'!$L$6=A12,6,0)+IF('Race Results'!$M$6=A12,4,0)+IF('Race Results'!$N$6=A12,2,0)+IF('Race Results'!$O$6=A12,1,0)+IF(AND('Race Results'!$Q$6=A12,'Race Results'!$R$6="Yes"),1,0),0),0)+IFERROR(IF('Race Results'!$E$7=A12,25,0)+IF('Race Results'!$G$7=A12,18,0)+IF('Race Results'!$H$7=A12,15,0)+IF('Race Results'!$I$7=A12,12,0)+IF('Race Results'!$J$7=A12,10,0)+IF('Race Results'!$K$7=A12,8,0)+IF('Race Results'!$L$7=A12,6,0)+IF('Race Results'!$M$7=A12,4,0)+IF('Race Results'!$N$7=A12,2,0)+IF('Race Results'!$O$7=A12,1,0)+IF(AND('Race Results'!$Q$7=A12,'Race Results'!$R$7="Yes"),1,0)+IF('Sprint Results'!$E$3=A12,8,0)+IF('Sprint Results'!$F$3=A12,7,0)+IF('Sprint Results'!$G$3=A12,6,0)+IF('Sprint Results'!$H$3=A12,5,0)+IF('Sprint Results'!$I$3=A12,4,0)+IF('Sprint Results'!$J$3=A12,3,0)+IF('Sprint Results'!$K$3=A12,2,0)+IF('Sprint Results'!$L$3=A12,1,0),0),0)+IFERROR(IF('Race Results'!$E$8=A12,25,0)+IF('Race Results'!$G$8=A12,18,0)+IF('Race Results'!$H$8=A12,15,0)+IF('Race Results'!$I$8=A12,12,0)+IF('Race Results'!$J$8=A12,10,0)+IF('Race Results'!$K$8=A12,8,0)+IF('Race Results'!$L$8=A12,6,0)+IF('Race Results'!$M$8=A12,4,0)+IF('Race Results'!$N$8=A12,2,0)+IF('Race Results'!$O$8=A12,1,0)+IF(AND('Race Results'!$Q$8=A12,'Race Results'!$R$8="Yes"),1,0)+IF('Sprint Results'!$E$4=A12,8,0)+IF('Sprint Results'!$F$4=A12,7,0)+IF('Sprint Results'!$G$4=A12,6,0)+IF('Sprint Results'!$H$4=A12,5,0)+IF('Sprint Results'!$I$4=A12,4,0)+IF('Sprint Results'!$J$4=A12,3,0)+IF('Sprint Results'!$K$4=A12,2,0)+IF('Sprint Results'!$L$4=A12,1,0),0),0)+IFERROR(IF('Race Results'!$E$9=A12,25,0)+IF('Race Results'!$G$9=A12,18,0)+IF('Race Results'!$H$9=A12,15,0)+IF('Race Results'!$I$9=A12,12,0)+IF('Race Results'!$J$9=A12,10,0)+IF('Race Results'!$K$9=A12,8,0)+IF('Race Results'!$L$9=A12,6,0)+IF('Race Results'!$M$9=A12,4,0)+IF('Race Results'!$N$9=A12,2,0)+IF('Race Results'!$O$9=A12,1,0)+IF(AND('Race Results'!$Q$9=A12,'Race Results'!$R$9="Yes"),1,0),0),0)+IFERROR(IF('Race Results'!$E$10=A12,25,0)+IF('Race Results'!$G$10=A12,18,0)+IF('Race Results'!$H$10=A12,15,0)+IF('Race Results'!$I$10=A12,12,0)+IF('Race Results'!$J$10=A12,10,0)+IF('Race Results'!$K$10=A12,8,0)+IF('Race Results'!$L$10=A12,6,0)+IF('Race Results'!$M$10=A12,4,0)+IF('Race Results'!$N$10=A12,2,0)+IF('Race Results'!$O$10=A12,1,0)+IF(AND('Race Results'!$Q$10=A12,'Race Results'!$R$10="Yes"),1,0),0),0)+IFERROR(IF('Race Results'!$E$11=A12,25,0)+IF('Race Results'!$G$11=A12,18,0)+IF('Race Results'!$H$11=A12,15,0)+IF('Race Results'!$I$11=A12,12,0)+IF('Race Results'!$J$11=A12,10,0)+IF('Race Results'!$K$11=A12,8,0)+IF('Race Results'!$L$11=A12,6,0)+IF('Race Results'!$M$11=A12,4,0)+IF('Race Results'!$N$11=A12,2,0)+IF('Race Results'!$O$11=A12,1,0)+IF(AND('Race Results'!$Q$11=A12,'Race Results'!$R$11="Yes"),1,0),0),0)+IFERROR(IF('Race Results'!$E$12=A12,25,0)+IF('Race Results'!$G$12=A12,18,0)+IF('Race Results'!$H$12=A12,15,0)+IF('Race Results'!$I$12=A12,12,0)+IF('Race Results'!$J$12=A12,10,0)+IF('Race Results'!$K$12=A12,8,0)+IF('Race Results'!$L$12=A12,6,0)+IF('Race Results'!$M$12=A12,4,0)+IF('Race Results'!$N$12=A12,2,0)+IF('Race Results'!$O$12=A12,1,0)+IF(AND('Race Results'!$Q$12=A12,'Race Results'!$R$12="Yes"),1,0),0),0)+IFERROR(IF('Race Results'!$E$13=A12,25,0)+IF('Race Results'!$G$13=A12,18,0)+IF('Race Results'!$H$13=A12,15,0)+IF('Race Results'!$I$13=A12,12,0)+IF('Race Results'!$J$13=A12,10,0)+IF('Race Results'!$K$13=A12,8,0)+IF('Race Results'!$L$13=A12,6,0)+IF('Race Results'!$M$13=A12,4,0)+IF('Race Results'!$N$13=A12,2,0)+IF('Race Results'!$O$13=A12,1,0)+IF(AND('Race Results'!$Q$13=A12,'Race Results'!$R$13="Yes"),1,0)+IF('Sprint Results'!$E$5=A12,8,0)+IF('Sprint Results'!$F$5=A12,7,0)+IF('Sprint Results'!$G$5=A12,6,0)+IF('Sprint Results'!$H$5=A12,5,0)+IF('Sprint Results'!$I$5=A12,4,0)+IF('Sprint Results'!$J$5=A12,3,0)+IF('Sprint Results'!$K$5=A12,2,0)+IF('Sprint Results'!$L$5=A12,1,0),0),0)+IFERROR(IF('Race Results'!$E$14=A12,25,0)+IF('Race Results'!$G$14=A12,18,0)+IF('Race Results'!$H$14=A12,15,0)+IF('Race Results'!$I$14=A12,12,0)+IF('Race Results'!$J$14=A12,10,0)+IF('Race Results'!$K$14=A12,8,0)+IF('Race Results'!$L$14=A12,6,0)+IF('Race Results'!$M$14=A12,4,0)+IF('Race Results'!$N$14=A12,2,0)+IF('Race Results'!$O$14=A12,1,0)+IF(AND('Race Results'!$Q$14=A12,'Race Results'!$R$14="Yes"),1,0),0),0)+IFERROR(IF('Race Results'!$E$15=A12,25,0)+IF('Race Results'!$G$15=A12,18,0)+IF('Race Results'!$H$15=A12,15,0)+IF('Race Results'!$I$15=A12,12,0)+IF('Race Results'!$J$15=A12,10,0)+IF('Race Results'!$K$15=A12,8,0)+IF('Race Results'!$L$15=A12,6,0)+IF('Race Results'!$M$15=A12,4,0)+IF('Race Results'!$N$15=A12,2,0)+IF('Race Results'!$O$15=A12,1,0)+IF(AND('Race Results'!$Q$15=A12,'Race Results'!$R$15="Yes"),1,0),0),0)+IFERROR(IF('Race Results'!$E$16=A12,25,0)+IF('Race Results'!$G$16=A12,18,0)+IF('Race Results'!$H$16=A12,15,0)+IF('Race Results'!$I$16=A12,12,0)+IF('Race Results'!$J$16=A12,10,0)+IF('Race Results'!$K$16=A12,8,0)+IF('Race Results'!$L$16=A12,6,0)+IF('Race Results'!$M$16=A12,4,0)+IF('Race Results'!$N$16=A12,2,0)+IF('Race Results'!$O$16=A12,1,0)+IF(AND('Race Results'!$Q$16=A12,'Race Results'!$R$16="Yes"),1,0)+IF('Sprint Results'!$E$6=A12,8,0)+IF('Sprint Results'!$F$6=A12,7,0)+IF('Sprint Results'!$G$6=A12,6,0)+IF('Sprint Results'!$H$6=A12,5,0)+IF('Sprint Results'!$I$6=A12,4,0)+IF('Sprint Results'!$J$6=A12,3,0)+IF('Sprint Results'!$K$6=A12,2,0)+IF('Sprint Results'!$L$6=A12,1,0),0),0)+IFERROR(IF('Race Results'!$E$17=A12,25,0)+IF('Race Results'!$G$17=A12,18,0)+IF('Race Results'!$H$17=A12,15,0)+IF('Race Results'!$I$17=A12,12,0)+IF('Race Results'!$J$17=A12,10,0)+IF('Race Results'!$K$17=A12,8,0)+IF('Race Results'!$L$17=A12,6,0)+IF('Race Results'!$M$17=A12,4,0)+IF('Race Results'!$N$17=A12,2,0)+IF('Race Results'!$O$17=A12,1,0)+IF(AND('Race Results'!$Q$17=A12,'Race Results'!$R$17="Yes"),1,0),0),0)</f>
        <v>4</v>
      </c>
      <c r="R35" s="1" t="n">
        <v>4</v>
      </c>
      <c r="S35" s="1" t="n">
        <v>4</v>
      </c>
      <c r="T35" s="1" t="n">
        <v>4</v>
      </c>
      <c r="U35" s="1" t="n">
        <v>4</v>
      </c>
      <c r="V35" s="1" t="n">
        <v>4</v>
      </c>
      <c r="W35" s="1" t="n">
        <v>4</v>
      </c>
      <c r="X35" s="1" t="n">
        <v>4</v>
      </c>
      <c r="Y35" s="1" t="n">
        <v>4</v>
      </c>
    </row>
    <row r="36" customFormat="false" ht="14.25" hidden="false" customHeight="true" outlineLevel="0" collapsed="false">
      <c r="A36" s="1" t="s">
        <v>68</v>
      </c>
      <c r="B36" s="1" t="n">
        <f aca="false">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</f>
        <v>0</v>
      </c>
      <c r="C36" s="1" t="n">
        <f aca="false">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</f>
        <v>3</v>
      </c>
      <c r="D36" s="1" t="n">
        <f aca="false">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</f>
        <v>21</v>
      </c>
      <c r="E36" s="1" t="n">
        <f aca="false">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</f>
        <v>21</v>
      </c>
      <c r="F36" s="1" t="n">
        <f aca="false">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</f>
        <v>21</v>
      </c>
      <c r="G36" s="1" t="n">
        <f aca="false">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</f>
        <v>21</v>
      </c>
      <c r="H36" s="1" t="n">
        <f aca="false">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</f>
        <v>21</v>
      </c>
      <c r="I36" s="1" t="n">
        <f aca="false">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</f>
        <v>21</v>
      </c>
      <c r="J36" s="1" t="n">
        <f aca="false">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</f>
        <v>21</v>
      </c>
      <c r="K36" s="1" t="n">
        <f aca="false">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</f>
        <v>21</v>
      </c>
      <c r="L36" s="1" t="n">
        <f aca="false">IFERROR(IFERROR(IFERROR(IFERROR(IFERROR(IFERROR(IFERROR(IFERROR(IFERROR(IFERROR(IFERROR(IFERROR(IF('Race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Results'!$R$11="Yes"),1,0),0),0)+IFERROR(IF('Race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Results'!$R$12="Yes"),1,0),0),0)</f>
        <v>21</v>
      </c>
      <c r="M36" s="1" t="n">
        <f aca="false">IFERROR(IFERROR(IFERROR(IFERROR(IFERROR(IFERROR(IFERROR(IFERROR(IFERROR(IFERROR(IFERROR(IFERROR(IFERROR(IF('Race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Results'!$R$11="Yes"),1,0),0),0)+IFERROR(IF('Race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Results'!$R$12="Yes"),1,0),0),0)+IFERROR(IF('Race Results'!$E$13=A13,25,0)+IF('Race Results'!$G$13=A13,18,0)+IF('Race Results'!$H$13=A13,15,0)+IF('Race Results'!$I$13=A13,12,0)+IF('Race Results'!$J$13=A13,10,0)+IF('Race Results'!$K$13=A13,8,0)+IF('Race Results'!$L$13=A13,6,0)+IF('Race Results'!$M$13=A13,4,0)+IF('Race Results'!$N$13=A13,2,0)+IF('Race Results'!$O$13=A13,1,0)+IF(AND('Race Results'!$Q$13=A13,'Race Results'!$R$13="Yes"),1,0)+IF('Sprint Results'!$E$5=A13,8,0)+IF('Sprint Results'!$F$5=A13,7,0)+IF('Sprint Results'!$G$5=A13,6,0)+IF('Sprint Results'!$H$5=A13,5,0)+IF('Sprint Results'!$I$5=A13,4,0)+IF('Sprint Results'!$J$5=A13,3,0)+IF('Sprint Results'!$K$5=A13,2,0)+IF('Sprint Results'!$L$5=A13,1,0),0),0)</f>
        <v>21</v>
      </c>
      <c r="N36" s="1" t="n">
        <f aca="false">IFERROR(IFERROR(IFERROR(IFERROR(IFERROR(IFERROR(IFERROR(IFERROR(IFERROR(IFERROR(IFERROR(IFERROR(IFERROR(IFERROR(IF('Race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Results'!$R$11="Yes"),1,0),0),0)+IFERROR(IF('Race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Results'!$R$12="Yes"),1,0),0),0)+IFERROR(IF('Race Results'!$E$13=A13,25,0)+IF('Race Results'!$G$13=A13,18,0)+IF('Race Results'!$H$13=A13,15,0)+IF('Race Results'!$I$13=A13,12,0)+IF('Race Results'!$J$13=A13,10,0)+IF('Race Results'!$K$13=A13,8,0)+IF('Race Results'!$L$13=A13,6,0)+IF('Race Results'!$M$13=A13,4,0)+IF('Race Results'!$N$13=A13,2,0)+IF('Race Results'!$O$13=A13,1,0)+IF(AND('Race Results'!$Q$13=A13,'Race Results'!$R$13="Yes"),1,0)+IF('Sprint Results'!$E$5=A13,8,0)+IF('Sprint Results'!$F$5=A13,7,0)+IF('Sprint Results'!$G$5=A13,6,0)+IF('Sprint Results'!$H$5=A13,5,0)+IF('Sprint Results'!$I$5=A13,4,0)+IF('Sprint Results'!$J$5=A13,3,0)+IF('Sprint Results'!$K$5=A13,2,0)+IF('Sprint Results'!$L$5=A13,1,0),0),0)+IFERROR(IF('Race Results'!$E$14=A13,25,0)+IF('Race Results'!$G$14=A13,18,0)+IF('Race Results'!$H$14=A13,15,0)+IF('Race Results'!$I$14=A13,12,0)+IF('Race Results'!$J$14=A13,10,0)+IF('Race Results'!$K$14=A13,8,0)+IF('Race Results'!$L$14=A13,6,0)+IF('Race Results'!$M$14=A13,4,0)+IF('Race Results'!$N$14=A13,2,0)+IF('Race Results'!$O$14=A13,1,0)+IF(AND('Race Results'!$Q$14=A13,'Race Results'!$R$14="Yes"),1,0),0),0)</f>
        <v>21</v>
      </c>
      <c r="O36" s="1" t="n">
        <f aca="false">IFERROR(IFERROR(IFERROR(IFERROR(IFERROR(IFERROR(IFERROR(IFERROR(IFERROR(IFERROR(IFERROR(IFERROR(IFERROR(IFERROR(IFERROR(IF('Race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Results'!$R$11="Yes"),1,0),0),0)+IFERROR(IF('Race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Results'!$R$12="Yes"),1,0),0),0)+IFERROR(IF('Race Results'!$E$13=A13,25,0)+IF('Race Results'!$G$13=A13,18,0)+IF('Race Results'!$H$13=A13,15,0)+IF('Race Results'!$I$13=A13,12,0)+IF('Race Results'!$J$13=A13,10,0)+IF('Race Results'!$K$13=A13,8,0)+IF('Race Results'!$L$13=A13,6,0)+IF('Race Results'!$M$13=A13,4,0)+IF('Race Results'!$N$13=A13,2,0)+IF('Race Results'!$O$13=A13,1,0)+IF(AND('Race Results'!$Q$13=A13,'Race Results'!$R$13="Yes"),1,0)+IF('Sprint Results'!$E$5=A13,8,0)+IF('Sprint Results'!$F$5=A13,7,0)+IF('Sprint Results'!$G$5=A13,6,0)+IF('Sprint Results'!$H$5=A13,5,0)+IF('Sprint Results'!$I$5=A13,4,0)+IF('Sprint Results'!$J$5=A13,3,0)+IF('Sprint Results'!$K$5=A13,2,0)+IF('Sprint Results'!$L$5=A13,1,0),0),0)+IFERROR(IF('Race Results'!$E$14=A13,25,0)+IF('Race Results'!$G$14=A13,18,0)+IF('Race Results'!$H$14=A13,15,0)+IF('Race Results'!$I$14=A13,12,0)+IF('Race Results'!$J$14=A13,10,0)+IF('Race Results'!$K$14=A13,8,0)+IF('Race Results'!$L$14=A13,6,0)+IF('Race Results'!$M$14=A13,4,0)+IF('Race Results'!$N$14=A13,2,0)+IF('Race Results'!$O$14=A13,1,0)+IF(AND('Race Results'!$Q$14=A13,'Race Results'!$R$14="Yes"),1,0),0),0)+IFERROR(IF('Race Results'!$E$15=A13,25,0)+IF('Race Results'!$G$15=A13,18,0)+IF('Race Results'!$H$15=A13,15,0)+IF('Race Results'!$I$15=A13,12,0)+IF('Race Results'!$J$15=A13,10,0)+IF('Race Results'!$K$15=A13,8,0)+IF('Race Results'!$L$15=A13,6,0)+IF('Race Results'!$M$15=A13,4,0)+IF('Race Results'!$N$15=A13,2,0)+IF('Race Results'!$O$15=A13,1,0)+IF(AND('Race Results'!$Q$15=A13,'Race Results'!$R$15="Yes"),1,0),0),0)</f>
        <v>21</v>
      </c>
      <c r="P36" s="1" t="n">
        <f aca="false">IFERROR(IFERROR(IFERROR(IFERROR(IFERROR(IFERROR(IFERROR(IFERROR(IFERROR(IFERROR(IFERROR(IFERROR(IFERROR(IFERROR(IFERROR(IFERROR(IF('Race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Results'!$R$11="Yes"),1,0),0),0)+IFERROR(IF('Race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Results'!$R$12="Yes"),1,0),0),0)+IFERROR(IF('Race Results'!$E$13=A13,25,0)+IF('Race Results'!$G$13=A13,18,0)+IF('Race Results'!$H$13=A13,15,0)+IF('Race Results'!$I$13=A13,12,0)+IF('Race Results'!$J$13=A13,10,0)+IF('Race Results'!$K$13=A13,8,0)+IF('Race Results'!$L$13=A13,6,0)+IF('Race Results'!$M$13=A13,4,0)+IF('Race Results'!$N$13=A13,2,0)+IF('Race Results'!$O$13=A13,1,0)+IF(AND('Race Results'!$Q$13=A13,'Race Results'!$R$13="Yes"),1,0)+IF('Sprint Results'!$E$5=A13,8,0)+IF('Sprint Results'!$F$5=A13,7,0)+IF('Sprint Results'!$G$5=A13,6,0)+IF('Sprint Results'!$H$5=A13,5,0)+IF('Sprint Results'!$I$5=A13,4,0)+IF('Sprint Results'!$J$5=A13,3,0)+IF('Sprint Results'!$K$5=A13,2,0)+IF('Sprint Results'!$L$5=A13,1,0),0),0)+IFERROR(IF('Race Results'!$E$14=A13,25,0)+IF('Race Results'!$G$14=A13,18,0)+IF('Race Results'!$H$14=A13,15,0)+IF('Race Results'!$I$14=A13,12,0)+IF('Race Results'!$J$14=A13,10,0)+IF('Race Results'!$K$14=A13,8,0)+IF('Race Results'!$L$14=A13,6,0)+IF('Race Results'!$M$14=A13,4,0)+IF('Race Results'!$N$14=A13,2,0)+IF('Race Results'!$O$14=A13,1,0)+IF(AND('Race Results'!$Q$14=A13,'Race Results'!$R$14="Yes"),1,0),0),0)+IFERROR(IF('Race Results'!$E$15=A13,25,0)+IF('Race Results'!$G$15=A13,18,0)+IF('Race Results'!$H$15=A13,15,0)+IF('Race Results'!$I$15=A13,12,0)+IF('Race Results'!$J$15=A13,10,0)+IF('Race Results'!$K$15=A13,8,0)+IF('Race Results'!$L$15=A13,6,0)+IF('Race Results'!$M$15=A13,4,0)+IF('Race Results'!$N$15=A13,2,0)+IF('Race Results'!$O$15=A13,1,0)+IF(AND('Race Results'!$Q$15=A13,'Race Results'!$R$15="Yes"),1,0),0),0)+IFERROR(IF('Race Results'!$E$16=A13,25,0)+IF('Race Results'!$G$16=A13,18,0)+IF('Race Results'!$H$16=A13,15,0)+IF('Race Results'!$I$16=A13,12,0)+IF('Race Results'!$J$16=A13,10,0)+IF('Race Results'!$K$16=A13,8,0)+IF('Race Results'!$L$16=A13,6,0)+IF('Race Results'!$M$16=A13,4,0)+IF('Race Results'!$N$16=A13,2,0)+IF('Race Results'!$O$16=A13,1,0)+IF(AND('Race Results'!$Q$16=A13,'Race Results'!$R$16="Yes"),1,0)+IF('Sprint Results'!$E$6=A13,8,0)+IF('Sprint Results'!$F$6=A13,7,0)+IF('Sprint Results'!$G$6=A13,6,0)+IF('Sprint Results'!$H$6=A13,5,0)+IF('Sprint Results'!$I$6=A13,4,0)+IF('Sprint Results'!$J$6=A13,3,0)+IF('Sprint Results'!$K$6=A13,2,0)+IF('Sprint Results'!$L$6=A13,1,0),0),0)</f>
        <v>21</v>
      </c>
      <c r="Q36" s="1" t="n">
        <f aca="false">IFERROR(IFERROR(IFERROR(IFERROR(IFERROR(IFERROR(IFERROR(IFERROR(IFERROR(IFERROR(IFERROR(IFERROR(IFERROR(IFERROR(IFERROR(IFERROR(IFERROR(IF('Race Results'!$E$2=A13,25,0)+IF('Race Results'!$G$2=A13,18,0)+IF('Race Results'!$H$2=A13,15,0)+IF('Race Results'!$I$2=A13,12,0)+IF('Race Results'!$J$2=A13,10,0)+IF('Race Results'!$K$2=A13,8,0)+IF('Race Results'!$L$2=A13,6,0)+IF('Race Results'!$M$2=A13,4,0)+IF('Race Results'!$N$2=A13,2,0)+IF('Race Results'!$O$2=A13,1,0)+IF(AND('Race Results'!$Q$2=A13,'Race Results'!$R$2="Yes"),1,0),0),0)+IFERROR(IF('Race Results'!$E$3=A13,25,0)+IF('Race Results'!$G$3=A13,18,0)+IF('Race Results'!$H$3=A13,15,0)+IF('Race Results'!$I$3=A13,12,0)+IF('Race Results'!$J$3=A13,10,0)+IF('Race Results'!$K$3=A13,8,0)+IF('Race Results'!$L$3=A13,6,0)+IF('Race Results'!$M$3=A13,4,0)+IF('Race Results'!$N$3=A13,2,0)+IF('Race Results'!$O$3=A13,1,0)+IF(AND('Race Results'!$Q$3=A13,'Race Results'!$R$3="Yes"),1,0)+IF('Sprint Results'!$E$2=A13,8,0)+IF('Sprint Results'!$F$2=A13,7,0)+IF('Sprint Results'!$G$2=A13,6,0)+IF('Sprint Results'!$H$2=A13,5,0)+IF('Sprint Results'!$I$2=A13,4,0)+IF('Sprint Results'!$J$2=A13,3,0)+IF('Sprint Results'!$K$2=A13,2,0)+IF('Sprint Results'!$L$2=A13,1,0),0),0)+IFERROR(IF('Race Results'!$E$4=A13,25,0)+IF('Race Results'!$G$4=A13,18,0)+IF('Race Results'!$H$4=A13,15,0)+IF('Race Results'!$I$4=A13,12,0)+IF('Race Results'!$J$4=A13,10,0)+IF('Race Results'!$K$4=A13,8,0)+IF('Race Results'!$L$4=A13,6,0)+IF('Race Results'!$M$4=A13,4,0)+IF('Race Results'!$N$4=A13,2,0)+IF('Race Results'!$O$4=A13,1,0)+IF(AND('Race Results'!$Q$4=A13,'Race Results'!$R$4="Yes"),1,0),0),0)+IFERROR(IF('Race Results'!$E$5=A13,25,0)+IF('Race Results'!$G$5=A13,18,0)+IF('Race Results'!$H$5=A13,15,0)+IF('Race Results'!$I$5=A13,12,0)+IF('Race Results'!$J$5=A13,10,0)+IF('Race Results'!$K$5=A13,8,0)+IF('Race Results'!$L$5=A13,6,0)+IF('Race Results'!$M$5=A13,4,0)+IF('Race Results'!$N$5=A13,2,0)+IF('Race Results'!$O$5=A13,1,0)+IF(AND('Race Results'!$Q$5=A13,'Race Results'!$R$5="Yes"),1,0),0),0)+IFERROR(IF('Race Results'!$E$6=A13,25,0)+IF('Race Results'!$G$6=A13,18,0)+IF('Race Results'!$H$6=A13,15,0)+IF('Race Results'!$I$6=A13,12,0)+IF('Race Results'!$J$6=A13,10,0)+IF('Race Results'!$K$6=A13,8,0)+IF('Race Results'!$L$6=A13,6,0)+IF('Race Results'!$M$6=A13,4,0)+IF('Race Results'!$N$6=A13,2,0)+IF('Race Results'!$O$6=A13,1,0)+IF(AND('Race Results'!$Q$6=A13,'Race Results'!$R$6="Yes"),1,0),0),0)+IFERROR(IF('Race Results'!$E$7=A13,25,0)+IF('Race Results'!$G$7=A13,18,0)+IF('Race Results'!$H$7=A13,15,0)+IF('Race Results'!$I$7=A13,12,0)+IF('Race Results'!$J$7=A13,10,0)+IF('Race Results'!$K$7=A13,8,0)+IF('Race Results'!$L$7=A13,6,0)+IF('Race Results'!$M$7=A13,4,0)+IF('Race Results'!$N$7=A13,2,0)+IF('Race Results'!$O$7=A13,1,0)+IF(AND('Race Results'!$Q$7=A13,'Race Results'!$R$7="Yes"),1,0)+IF('Sprint Results'!$E$3=A13,8,0)+IF('Sprint Results'!$F$3=A13,7,0)+IF('Sprint Results'!$G$3=A13,6,0)+IF('Sprint Results'!$H$3=A13,5,0)+IF('Sprint Results'!$I$3=A13,4,0)+IF('Sprint Results'!$J$3=A13,3,0)+IF('Sprint Results'!$K$3=A13,2,0)+IF('Sprint Results'!$L$3=A13,1,0),0),0)+IFERROR(IF('Race Results'!$E$8=A13,25,0)+IF('Race Results'!$G$8=A13,18,0)+IF('Race Results'!$H$8=A13,15,0)+IF('Race Results'!$I$8=A13,12,0)+IF('Race Results'!$J$8=A13,10,0)+IF('Race Results'!$K$8=A13,8,0)+IF('Race Results'!$L$8=A13,6,0)+IF('Race Results'!$M$8=A13,4,0)+IF('Race Results'!$N$8=A13,2,0)+IF('Race Results'!$O$8=A13,1,0)+IF(AND('Race Results'!$Q$8=A13,'Race Results'!$R$8="Yes"),1,0)+IF('Sprint Results'!$E$4=A13,8,0)+IF('Sprint Results'!$F$4=A13,7,0)+IF('Sprint Results'!$G$4=A13,6,0)+IF('Sprint Results'!$H$4=A13,5,0)+IF('Sprint Results'!$I$4=A13,4,0)+IF('Sprint Results'!$J$4=A13,3,0)+IF('Sprint Results'!$K$4=A13,2,0)+IF('Sprint Results'!$L$4=A13,1,0),0),0)+IFERROR(IF('Race Results'!$E$9=A13,25,0)+IF('Race Results'!$G$9=A13,18,0)+IF('Race Results'!$H$9=A13,15,0)+IF('Race Results'!$I$9=A13,12,0)+IF('Race Results'!$J$9=A13,10,0)+IF('Race Results'!$K$9=A13,8,0)+IF('Race Results'!$L$9=A13,6,0)+IF('Race Results'!$M$9=A13,4,0)+IF('Race Results'!$N$9=A13,2,0)+IF('Race Results'!$O$9=A13,1,0)+IF(AND('Race Results'!$Q$9=A13,'Race Results'!$R$9="Yes"),1,0),0),0)+IFERROR(IF('Race Results'!$E$10=A13,25,0)+IF('Race Results'!$G$10=A13,18,0)+IF('Race Results'!$H$10=A13,15,0)+IF('Race Results'!$I$10=A13,12,0)+IF('Race Results'!$J$10=A13,10,0)+IF('Race Results'!$K$10=A13,8,0)+IF('Race Results'!$L$10=A13,6,0)+IF('Race Results'!$M$10=A13,4,0)+IF('Race Results'!$N$10=A13,2,0)+IF('Race Results'!$O$10=A13,1,0)+IF(AND('Race Results'!$Q$10=A13,'Race Results'!$R$10="Yes"),1,0),0),0)+IFERROR(IF('Race Results'!$E$11=A13,25,0)+IF('Race Results'!$G$11=A13,18,0)+IF('Race Results'!$H$11=A13,15,0)+IF('Race Results'!$I$11=A13,12,0)+IF('Race Results'!$J$11=A13,10,0)+IF('Race Results'!$K$11=A13,8,0)+IF('Race Results'!$L$11=A13,6,0)+IF('Race Results'!$M$11=A13,4,0)+IF('Race Results'!$N$11=A13,2,0)+IF('Race Results'!$O$11=A13,1,0)+IF(AND('Race Results'!$Q$11=A13,'Race Results'!$R$11="Yes"),1,0),0),0)+IFERROR(IF('Race Results'!$E$12=A13,25,0)+IF('Race Results'!$G$12=A13,18,0)+IF('Race Results'!$H$12=A13,15,0)+IF('Race Results'!$I$12=A13,12,0)+IF('Race Results'!$J$12=A13,10,0)+IF('Race Results'!$K$12=A13,8,0)+IF('Race Results'!$L$12=A13,6,0)+IF('Race Results'!$M$12=A13,4,0)+IF('Race Results'!$N$12=A13,2,0)+IF('Race Results'!$O$12=A13,1,0)+IF(AND('Race Results'!$Q$12=A13,'Race Results'!$R$12="Yes"),1,0),0),0)+IFERROR(IF('Race Results'!$E$13=A13,25,0)+IF('Race Results'!$G$13=A13,18,0)+IF('Race Results'!$H$13=A13,15,0)+IF('Race Results'!$I$13=A13,12,0)+IF('Race Results'!$J$13=A13,10,0)+IF('Race Results'!$K$13=A13,8,0)+IF('Race Results'!$L$13=A13,6,0)+IF('Race Results'!$M$13=A13,4,0)+IF('Race Results'!$N$13=A13,2,0)+IF('Race Results'!$O$13=A13,1,0)+IF(AND('Race Results'!$Q$13=A13,'Race Results'!$R$13="Yes"),1,0)+IF('Sprint Results'!$E$5=A13,8,0)+IF('Sprint Results'!$F$5=A13,7,0)+IF('Sprint Results'!$G$5=A13,6,0)+IF('Sprint Results'!$H$5=A13,5,0)+IF('Sprint Results'!$I$5=A13,4,0)+IF('Sprint Results'!$J$5=A13,3,0)+IF('Sprint Results'!$K$5=A13,2,0)+IF('Sprint Results'!$L$5=A13,1,0),0),0)+IFERROR(IF('Race Results'!$E$14=A13,25,0)+IF('Race Results'!$G$14=A13,18,0)+IF('Race Results'!$H$14=A13,15,0)+IF('Race Results'!$I$14=A13,12,0)+IF('Race Results'!$J$14=A13,10,0)+IF('Race Results'!$K$14=A13,8,0)+IF('Race Results'!$L$14=A13,6,0)+IF('Race Results'!$M$14=A13,4,0)+IF('Race Results'!$N$14=A13,2,0)+IF('Race Results'!$O$14=A13,1,0)+IF(AND('Race Results'!$Q$14=A13,'Race Results'!$R$14="Yes"),1,0),0),0)+IFERROR(IF('Race Results'!$E$15=A13,25,0)+IF('Race Results'!$G$15=A13,18,0)+IF('Race Results'!$H$15=A13,15,0)+IF('Race Results'!$I$15=A13,12,0)+IF('Race Results'!$J$15=A13,10,0)+IF('Race Results'!$K$15=A13,8,0)+IF('Race Results'!$L$15=A13,6,0)+IF('Race Results'!$M$15=A13,4,0)+IF('Race Results'!$N$15=A13,2,0)+IF('Race Results'!$O$15=A13,1,0)+IF(AND('Race Results'!$Q$15=A13,'Race Results'!$R$15="Yes"),1,0),0),0)+IFERROR(IF('Race Results'!$E$16=A13,25,0)+IF('Race Results'!$G$16=A13,18,0)+IF('Race Results'!$H$16=A13,15,0)+IF('Race Results'!$I$16=A13,12,0)+IF('Race Results'!$J$16=A13,10,0)+IF('Race Results'!$K$16=A13,8,0)+IF('Race Results'!$L$16=A13,6,0)+IF('Race Results'!$M$16=A13,4,0)+IF('Race Results'!$N$16=A13,2,0)+IF('Race Results'!$O$16=A13,1,0)+IF(AND('Race Results'!$Q$16=A13,'Race Results'!$R$16="Yes"),1,0)+IF('Sprint Results'!$E$6=A13,8,0)+IF('Sprint Results'!$F$6=A13,7,0)+IF('Sprint Results'!$G$6=A13,6,0)+IF('Sprint Results'!$H$6=A13,5,0)+IF('Sprint Results'!$I$6=A13,4,0)+IF('Sprint Results'!$J$6=A13,3,0)+IF('Sprint Results'!$K$6=A13,2,0)+IF('Sprint Results'!$L$6=A13,1,0),0),0)+IFERROR(IF('Race Results'!$E$17=A13,25,0)+IF('Race Results'!$G$17=A13,18,0)+IF('Race Results'!$H$17=A13,15,0)+IF('Race Results'!$I$17=A13,12,0)+IF('Race Results'!$J$17=A13,10,0)+IF('Race Results'!$K$17=A13,8,0)+IF('Race Results'!$L$17=A13,6,0)+IF('Race Results'!$M$17=A13,4,0)+IF('Race Results'!$N$17=A13,2,0)+IF('Race Results'!$O$17=A13,1,0)+IF(AND('Race Results'!$Q$17=A13,'Race Results'!$R$17="Yes"),1,0),0),0)</f>
        <v>21</v>
      </c>
      <c r="R36" s="1" t="n">
        <v>3</v>
      </c>
      <c r="S36" s="1" t="n">
        <v>3</v>
      </c>
      <c r="T36" s="1" t="n">
        <v>3</v>
      </c>
      <c r="U36" s="1" t="n">
        <v>3</v>
      </c>
      <c r="V36" s="1" t="n">
        <v>3</v>
      </c>
      <c r="W36" s="1" t="n">
        <v>3</v>
      </c>
      <c r="X36" s="1" t="n">
        <v>3</v>
      </c>
      <c r="Y36" s="1" t="n">
        <v>3</v>
      </c>
    </row>
    <row r="37" customFormat="false" ht="14.25" hidden="false" customHeight="true" outlineLevel="0" collapsed="false">
      <c r="A37" s="1" t="s">
        <v>63</v>
      </c>
      <c r="B37" s="1" t="n">
        <f aca="false">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</f>
        <v>0</v>
      </c>
      <c r="C37" s="1" t="n">
        <f aca="false">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</f>
        <v>2</v>
      </c>
      <c r="D37" s="1" t="n">
        <f aca="false">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</f>
        <v>2</v>
      </c>
      <c r="E37" s="1" t="n">
        <f aca="false">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</f>
        <v>2</v>
      </c>
      <c r="F37" s="1" t="n">
        <f aca="false">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</f>
        <v>2</v>
      </c>
      <c r="G37" s="1" t="n">
        <f aca="false">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</f>
        <v>2</v>
      </c>
      <c r="H37" s="1" t="n">
        <f aca="false">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</f>
        <v>2</v>
      </c>
      <c r="I37" s="1" t="n">
        <f aca="false">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</f>
        <v>2</v>
      </c>
      <c r="J37" s="1" t="n">
        <f aca="false">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</f>
        <v>2</v>
      </c>
      <c r="K37" s="1" t="n">
        <f aca="false">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</f>
        <v>2</v>
      </c>
      <c r="L37" s="1" t="n">
        <f aca="false">IFERROR(IFERROR(IFERROR(IFERROR(IFERROR(IFERROR(IFERROR(IFERROR(IFERROR(IFERROR(IFERROR(IFERROR(IF('Race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Results'!$R$11="Yes"),1,0),0),0)+IFERROR(IF('Race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Results'!$R$12="Yes"),1,0),0),0)</f>
        <v>2</v>
      </c>
      <c r="M37" s="1" t="n">
        <f aca="false">IFERROR(IFERROR(IFERROR(IFERROR(IFERROR(IFERROR(IFERROR(IFERROR(IFERROR(IFERROR(IFERROR(IFERROR(IFERROR(IF('Race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Results'!$R$11="Yes"),1,0),0),0)+IFERROR(IF('Race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Results'!$R$12="Yes"),1,0),0),0)+IFERROR(IF('Race Results'!$E$13=A14,25,0)+IF('Race Results'!$G$13=A14,18,0)+IF('Race Results'!$H$13=A14,15,0)+IF('Race Results'!$I$13=A14,12,0)+IF('Race Results'!$J$13=A14,10,0)+IF('Race Results'!$K$13=A14,8,0)+IF('Race Results'!$L$13=A14,6,0)+IF('Race Results'!$M$13=A14,4,0)+IF('Race Results'!$N$13=A14,2,0)+IF('Race Results'!$O$13=A14,1,0)+IF(AND('Race Results'!$Q$13=A14,'Race Results'!$R$13="Yes"),1,0)+IF('Sprint Results'!$E$5=A14,8,0)+IF('Sprint Results'!$F$5=A14,7,0)+IF('Sprint Results'!$G$5=A14,6,0)+IF('Sprint Results'!$H$5=A14,5,0)+IF('Sprint Results'!$I$5=A14,4,0)+IF('Sprint Results'!$J$5=A14,3,0)+IF('Sprint Results'!$K$5=A14,2,0)+IF('Sprint Results'!$L$5=A14,1,0),0),0)</f>
        <v>2</v>
      </c>
      <c r="N37" s="1" t="n">
        <f aca="false">IFERROR(IFERROR(IFERROR(IFERROR(IFERROR(IFERROR(IFERROR(IFERROR(IFERROR(IFERROR(IFERROR(IFERROR(IFERROR(IFERROR(IF('Race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Results'!$R$11="Yes"),1,0),0),0)+IFERROR(IF('Race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Results'!$R$12="Yes"),1,0),0),0)+IFERROR(IF('Race Results'!$E$13=A14,25,0)+IF('Race Results'!$G$13=A14,18,0)+IF('Race Results'!$H$13=A14,15,0)+IF('Race Results'!$I$13=A14,12,0)+IF('Race Results'!$J$13=A14,10,0)+IF('Race Results'!$K$13=A14,8,0)+IF('Race Results'!$L$13=A14,6,0)+IF('Race Results'!$M$13=A14,4,0)+IF('Race Results'!$N$13=A14,2,0)+IF('Race Results'!$O$13=A14,1,0)+IF(AND('Race Results'!$Q$13=A14,'Race Results'!$R$13="Yes"),1,0)+IF('Sprint Results'!$E$5=A14,8,0)+IF('Sprint Results'!$F$5=A14,7,0)+IF('Sprint Results'!$G$5=A14,6,0)+IF('Sprint Results'!$H$5=A14,5,0)+IF('Sprint Results'!$I$5=A14,4,0)+IF('Sprint Results'!$J$5=A14,3,0)+IF('Sprint Results'!$K$5=A14,2,0)+IF('Sprint Results'!$L$5=A14,1,0),0),0)+IFERROR(IF('Race Results'!$E$14=A14,25,0)+IF('Race Results'!$G$14=A14,18,0)+IF('Race Results'!$H$14=A14,15,0)+IF('Race Results'!$I$14=A14,12,0)+IF('Race Results'!$J$14=A14,10,0)+IF('Race Results'!$K$14=A14,8,0)+IF('Race Results'!$L$14=A14,6,0)+IF('Race Results'!$M$14=A14,4,0)+IF('Race Results'!$N$14=A14,2,0)+IF('Race Results'!$O$14=A14,1,0)+IF(AND('Race Results'!$Q$14=A14,'Race Results'!$R$14="Yes"),1,0),0),0)</f>
        <v>2</v>
      </c>
      <c r="O37" s="1" t="n">
        <f aca="false">IFERROR(IFERROR(IFERROR(IFERROR(IFERROR(IFERROR(IFERROR(IFERROR(IFERROR(IFERROR(IFERROR(IFERROR(IFERROR(IFERROR(IFERROR(IF('Race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Results'!$R$11="Yes"),1,0),0),0)+IFERROR(IF('Race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Results'!$R$12="Yes"),1,0),0),0)+IFERROR(IF('Race Results'!$E$13=A14,25,0)+IF('Race Results'!$G$13=A14,18,0)+IF('Race Results'!$H$13=A14,15,0)+IF('Race Results'!$I$13=A14,12,0)+IF('Race Results'!$J$13=A14,10,0)+IF('Race Results'!$K$13=A14,8,0)+IF('Race Results'!$L$13=A14,6,0)+IF('Race Results'!$M$13=A14,4,0)+IF('Race Results'!$N$13=A14,2,0)+IF('Race Results'!$O$13=A14,1,0)+IF(AND('Race Results'!$Q$13=A14,'Race Results'!$R$13="Yes"),1,0)+IF('Sprint Results'!$E$5=A14,8,0)+IF('Sprint Results'!$F$5=A14,7,0)+IF('Sprint Results'!$G$5=A14,6,0)+IF('Sprint Results'!$H$5=A14,5,0)+IF('Sprint Results'!$I$5=A14,4,0)+IF('Sprint Results'!$J$5=A14,3,0)+IF('Sprint Results'!$K$5=A14,2,0)+IF('Sprint Results'!$L$5=A14,1,0),0),0)+IFERROR(IF('Race Results'!$E$14=A14,25,0)+IF('Race Results'!$G$14=A14,18,0)+IF('Race Results'!$H$14=A14,15,0)+IF('Race Results'!$I$14=A14,12,0)+IF('Race Results'!$J$14=A14,10,0)+IF('Race Results'!$K$14=A14,8,0)+IF('Race Results'!$L$14=A14,6,0)+IF('Race Results'!$M$14=A14,4,0)+IF('Race Results'!$N$14=A14,2,0)+IF('Race Results'!$O$14=A14,1,0)+IF(AND('Race Results'!$Q$14=A14,'Race Results'!$R$14="Yes"),1,0),0),0)+IFERROR(IF('Race Results'!$E$15=A14,25,0)+IF('Race Results'!$G$15=A14,18,0)+IF('Race Results'!$H$15=A14,15,0)+IF('Race Results'!$I$15=A14,12,0)+IF('Race Results'!$J$15=A14,10,0)+IF('Race Results'!$K$15=A14,8,0)+IF('Race Results'!$L$15=A14,6,0)+IF('Race Results'!$M$15=A14,4,0)+IF('Race Results'!$N$15=A14,2,0)+IF('Race Results'!$O$15=A14,1,0)+IF(AND('Race Results'!$Q$15=A14,'Race Results'!$R$15="Yes"),1,0),0),0)</f>
        <v>2</v>
      </c>
      <c r="P37" s="1" t="n">
        <f aca="false">IFERROR(IFERROR(IFERROR(IFERROR(IFERROR(IFERROR(IFERROR(IFERROR(IFERROR(IFERROR(IFERROR(IFERROR(IFERROR(IFERROR(IFERROR(IFERROR(IF('Race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Results'!$R$11="Yes"),1,0),0),0)+IFERROR(IF('Race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Results'!$R$12="Yes"),1,0),0),0)+IFERROR(IF('Race Results'!$E$13=A14,25,0)+IF('Race Results'!$G$13=A14,18,0)+IF('Race Results'!$H$13=A14,15,0)+IF('Race Results'!$I$13=A14,12,0)+IF('Race Results'!$J$13=A14,10,0)+IF('Race Results'!$K$13=A14,8,0)+IF('Race Results'!$L$13=A14,6,0)+IF('Race Results'!$M$13=A14,4,0)+IF('Race Results'!$N$13=A14,2,0)+IF('Race Results'!$O$13=A14,1,0)+IF(AND('Race Results'!$Q$13=A14,'Race Results'!$R$13="Yes"),1,0)+IF('Sprint Results'!$E$5=A14,8,0)+IF('Sprint Results'!$F$5=A14,7,0)+IF('Sprint Results'!$G$5=A14,6,0)+IF('Sprint Results'!$H$5=A14,5,0)+IF('Sprint Results'!$I$5=A14,4,0)+IF('Sprint Results'!$J$5=A14,3,0)+IF('Sprint Results'!$K$5=A14,2,0)+IF('Sprint Results'!$L$5=A14,1,0),0),0)+IFERROR(IF('Race Results'!$E$14=A14,25,0)+IF('Race Results'!$G$14=A14,18,0)+IF('Race Results'!$H$14=A14,15,0)+IF('Race Results'!$I$14=A14,12,0)+IF('Race Results'!$J$14=A14,10,0)+IF('Race Results'!$K$14=A14,8,0)+IF('Race Results'!$L$14=A14,6,0)+IF('Race Results'!$M$14=A14,4,0)+IF('Race Results'!$N$14=A14,2,0)+IF('Race Results'!$O$14=A14,1,0)+IF(AND('Race Results'!$Q$14=A14,'Race Results'!$R$14="Yes"),1,0),0),0)+IFERROR(IF('Race Results'!$E$15=A14,25,0)+IF('Race Results'!$G$15=A14,18,0)+IF('Race Results'!$H$15=A14,15,0)+IF('Race Results'!$I$15=A14,12,0)+IF('Race Results'!$J$15=A14,10,0)+IF('Race Results'!$K$15=A14,8,0)+IF('Race Results'!$L$15=A14,6,0)+IF('Race Results'!$M$15=A14,4,0)+IF('Race Results'!$N$15=A14,2,0)+IF('Race Results'!$O$15=A14,1,0)+IF(AND('Race Results'!$Q$15=A14,'Race Results'!$R$15="Yes"),1,0),0),0)+IFERROR(IF('Race Results'!$E$16=A14,25,0)+IF('Race Results'!$G$16=A14,18,0)+IF('Race Results'!$H$16=A14,15,0)+IF('Race Results'!$I$16=A14,12,0)+IF('Race Results'!$J$16=A14,10,0)+IF('Race Results'!$K$16=A14,8,0)+IF('Race Results'!$L$16=A14,6,0)+IF('Race Results'!$M$16=A14,4,0)+IF('Race Results'!$N$16=A14,2,0)+IF('Race Results'!$O$16=A14,1,0)+IF(AND('Race Results'!$Q$16=A14,'Race Results'!$R$16="Yes"),1,0)+IF('Sprint Results'!$E$6=A14,8,0)+IF('Sprint Results'!$F$6=A14,7,0)+IF('Sprint Results'!$G$6=A14,6,0)+IF('Sprint Results'!$H$6=A14,5,0)+IF('Sprint Results'!$I$6=A14,4,0)+IF('Sprint Results'!$J$6=A14,3,0)+IF('Sprint Results'!$K$6=A14,2,0)+IF('Sprint Results'!$L$6=A14,1,0),0),0)</f>
        <v>2</v>
      </c>
      <c r="Q37" s="1" t="n">
        <f aca="false">IFERROR(IFERROR(IFERROR(IFERROR(IFERROR(IFERROR(IFERROR(IFERROR(IFERROR(IFERROR(IFERROR(IFERROR(IFERROR(IFERROR(IFERROR(IFERROR(IFERROR(IF('Race Results'!$E$2=A14,25,0)+IF('Race Results'!$G$2=A14,18,0)+IF('Race Results'!$H$2=A14,15,0)+IF('Race Results'!$I$2=A14,12,0)+IF('Race Results'!$J$2=A14,10,0)+IF('Race Results'!$K$2=A14,8,0)+IF('Race Results'!$L$2=A14,6,0)+IF('Race Results'!$M$2=A14,4,0)+IF('Race Results'!$N$2=A14,2,0)+IF('Race Results'!$O$2=A14,1,0)+IF(AND('Race Results'!$Q$2=A14,'Race Results'!$R$2="Yes"),1,0),0),0)+IFERROR(IF('Race Results'!$E$3=A14,25,0)+IF('Race Results'!$G$3=A14,18,0)+IF('Race Results'!$H$3=A14,15,0)+IF('Race Results'!$I$3=A14,12,0)+IF('Race Results'!$J$3=A14,10,0)+IF('Race Results'!$K$3=A14,8,0)+IF('Race Results'!$L$3=A14,6,0)+IF('Race Results'!$M$3=A14,4,0)+IF('Race Results'!$N$3=A14,2,0)+IF('Race Results'!$O$3=A14,1,0)+IF(AND('Race Results'!$Q$3=A14,'Race Results'!$R$3="Yes"),1,0)+IF('Sprint Results'!$E$2=A14,8,0)+IF('Sprint Results'!$F$2=A14,7,0)+IF('Sprint Results'!$G$2=A14,6,0)+IF('Sprint Results'!$H$2=A14,5,0)+IF('Sprint Results'!$I$2=A14,4,0)+IF('Sprint Results'!$J$2=A14,3,0)+IF('Sprint Results'!$K$2=A14,2,0)+IF('Sprint Results'!$L$2=A14,1,0),0),0)+IFERROR(IF('Race Results'!$E$4=A14,25,0)+IF('Race Results'!$G$4=A14,18,0)+IF('Race Results'!$H$4=A14,15,0)+IF('Race Results'!$I$4=A14,12,0)+IF('Race Results'!$J$4=A14,10,0)+IF('Race Results'!$K$4=A14,8,0)+IF('Race Results'!$L$4=A14,6,0)+IF('Race Results'!$M$4=A14,4,0)+IF('Race Results'!$N$4=A14,2,0)+IF('Race Results'!$O$4=A14,1,0)+IF(AND('Race Results'!$Q$4=A14,'Race Results'!$R$4="Yes"),1,0),0),0)+IFERROR(IF('Race Results'!$E$5=A14,25,0)+IF('Race Results'!$G$5=A14,18,0)+IF('Race Results'!$H$5=A14,15,0)+IF('Race Results'!$I$5=A14,12,0)+IF('Race Results'!$J$5=A14,10,0)+IF('Race Results'!$K$5=A14,8,0)+IF('Race Results'!$L$5=A14,6,0)+IF('Race Results'!$M$5=A14,4,0)+IF('Race Results'!$N$5=A14,2,0)+IF('Race Results'!$O$5=A14,1,0)+IF(AND('Race Results'!$Q$5=A14,'Race Results'!$R$5="Yes"),1,0),0),0)+IFERROR(IF('Race Results'!$E$6=A14,25,0)+IF('Race Results'!$G$6=A14,18,0)+IF('Race Results'!$H$6=A14,15,0)+IF('Race Results'!$I$6=A14,12,0)+IF('Race Results'!$J$6=A14,10,0)+IF('Race Results'!$K$6=A14,8,0)+IF('Race Results'!$L$6=A14,6,0)+IF('Race Results'!$M$6=A14,4,0)+IF('Race Results'!$N$6=A14,2,0)+IF('Race Results'!$O$6=A14,1,0)+IF(AND('Race Results'!$Q$6=A14,'Race Results'!$R$6="Yes"),1,0),0),0)+IFERROR(IF('Race Results'!$E$7=A14,25,0)+IF('Race Results'!$G$7=A14,18,0)+IF('Race Results'!$H$7=A14,15,0)+IF('Race Results'!$I$7=A14,12,0)+IF('Race Results'!$J$7=A14,10,0)+IF('Race Results'!$K$7=A14,8,0)+IF('Race Results'!$L$7=A14,6,0)+IF('Race Results'!$M$7=A14,4,0)+IF('Race Results'!$N$7=A14,2,0)+IF('Race Results'!$O$7=A14,1,0)+IF(AND('Race Results'!$Q$7=A14,'Race Results'!$R$7="Yes"),1,0)+IF('Sprint Results'!$E$3=A14,8,0)+IF('Sprint Results'!$F$3=A14,7,0)+IF('Sprint Results'!$G$3=A14,6,0)+IF('Sprint Results'!$H$3=A14,5,0)+IF('Sprint Results'!$I$3=A14,4,0)+IF('Sprint Results'!$J$3=A14,3,0)+IF('Sprint Results'!$K$3=A14,2,0)+IF('Sprint Results'!$L$3=A14,1,0),0),0)+IFERROR(IF('Race Results'!$E$8=A14,25,0)+IF('Race Results'!$G$8=A14,18,0)+IF('Race Results'!$H$8=A14,15,0)+IF('Race Results'!$I$8=A14,12,0)+IF('Race Results'!$J$8=A14,10,0)+IF('Race Results'!$K$8=A14,8,0)+IF('Race Results'!$L$8=A14,6,0)+IF('Race Results'!$M$8=A14,4,0)+IF('Race Results'!$N$8=A14,2,0)+IF('Race Results'!$O$8=A14,1,0)+IF(AND('Race Results'!$Q$8=A14,'Race Results'!$R$8="Yes"),1,0)+IF('Sprint Results'!$E$4=A14,8,0)+IF('Sprint Results'!$F$4=A14,7,0)+IF('Sprint Results'!$G$4=A14,6,0)+IF('Sprint Results'!$H$4=A14,5,0)+IF('Sprint Results'!$I$4=A14,4,0)+IF('Sprint Results'!$J$4=A14,3,0)+IF('Sprint Results'!$K$4=A14,2,0)+IF('Sprint Results'!$L$4=A14,1,0),0),0)+IFERROR(IF('Race Results'!$E$9=A14,25,0)+IF('Race Results'!$G$9=A14,18,0)+IF('Race Results'!$H$9=A14,15,0)+IF('Race Results'!$I$9=A14,12,0)+IF('Race Results'!$J$9=A14,10,0)+IF('Race Results'!$K$9=A14,8,0)+IF('Race Results'!$L$9=A14,6,0)+IF('Race Results'!$M$9=A14,4,0)+IF('Race Results'!$N$9=A14,2,0)+IF('Race Results'!$O$9=A14,1,0)+IF(AND('Race Results'!$Q$9=A14,'Race Results'!$R$9="Yes"),1,0),0),0)+IFERROR(IF('Race Results'!$E$10=A14,25,0)+IF('Race Results'!$G$10=A14,18,0)+IF('Race Results'!$H$10=A14,15,0)+IF('Race Results'!$I$10=A14,12,0)+IF('Race Results'!$J$10=A14,10,0)+IF('Race Results'!$K$10=A14,8,0)+IF('Race Results'!$L$10=A14,6,0)+IF('Race Results'!$M$10=A14,4,0)+IF('Race Results'!$N$10=A14,2,0)+IF('Race Results'!$O$10=A14,1,0)+IF(AND('Race Results'!$Q$10=A14,'Race Results'!$R$10="Yes"),1,0),0),0)+IFERROR(IF('Race Results'!$E$11=A14,25,0)+IF('Race Results'!$G$11=A14,18,0)+IF('Race Results'!$H$11=A14,15,0)+IF('Race Results'!$I$11=A14,12,0)+IF('Race Results'!$J$11=A14,10,0)+IF('Race Results'!$K$11=A14,8,0)+IF('Race Results'!$L$11=A14,6,0)+IF('Race Results'!$M$11=A14,4,0)+IF('Race Results'!$N$11=A14,2,0)+IF('Race Results'!$O$11=A14,1,0)+IF(AND('Race Results'!$Q$11=A14,'Race Results'!$R$11="Yes"),1,0),0),0)+IFERROR(IF('Race Results'!$E$12=A14,25,0)+IF('Race Results'!$G$12=A14,18,0)+IF('Race Results'!$H$12=A14,15,0)+IF('Race Results'!$I$12=A14,12,0)+IF('Race Results'!$J$12=A14,10,0)+IF('Race Results'!$K$12=A14,8,0)+IF('Race Results'!$L$12=A14,6,0)+IF('Race Results'!$M$12=A14,4,0)+IF('Race Results'!$N$12=A14,2,0)+IF('Race Results'!$O$12=A14,1,0)+IF(AND('Race Results'!$Q$12=A14,'Race Results'!$R$12="Yes"),1,0),0),0)+IFERROR(IF('Race Results'!$E$13=A14,25,0)+IF('Race Results'!$G$13=A14,18,0)+IF('Race Results'!$H$13=A14,15,0)+IF('Race Results'!$I$13=A14,12,0)+IF('Race Results'!$J$13=A14,10,0)+IF('Race Results'!$K$13=A14,8,0)+IF('Race Results'!$L$13=A14,6,0)+IF('Race Results'!$M$13=A14,4,0)+IF('Race Results'!$N$13=A14,2,0)+IF('Race Results'!$O$13=A14,1,0)+IF(AND('Race Results'!$Q$13=A14,'Race Results'!$R$13="Yes"),1,0)+IF('Sprint Results'!$E$5=A14,8,0)+IF('Sprint Results'!$F$5=A14,7,0)+IF('Sprint Results'!$G$5=A14,6,0)+IF('Sprint Results'!$H$5=A14,5,0)+IF('Sprint Results'!$I$5=A14,4,0)+IF('Sprint Results'!$J$5=A14,3,0)+IF('Sprint Results'!$K$5=A14,2,0)+IF('Sprint Results'!$L$5=A14,1,0),0),0)+IFERROR(IF('Race Results'!$E$14=A14,25,0)+IF('Race Results'!$G$14=A14,18,0)+IF('Race Results'!$H$14=A14,15,0)+IF('Race Results'!$I$14=A14,12,0)+IF('Race Results'!$J$14=A14,10,0)+IF('Race Results'!$K$14=A14,8,0)+IF('Race Results'!$L$14=A14,6,0)+IF('Race Results'!$M$14=A14,4,0)+IF('Race Results'!$N$14=A14,2,0)+IF('Race Results'!$O$14=A14,1,0)+IF(AND('Race Results'!$Q$14=A14,'Race Results'!$R$14="Yes"),1,0),0),0)+IFERROR(IF('Race Results'!$E$15=A14,25,0)+IF('Race Results'!$G$15=A14,18,0)+IF('Race Results'!$H$15=A14,15,0)+IF('Race Results'!$I$15=A14,12,0)+IF('Race Results'!$J$15=A14,10,0)+IF('Race Results'!$K$15=A14,8,0)+IF('Race Results'!$L$15=A14,6,0)+IF('Race Results'!$M$15=A14,4,0)+IF('Race Results'!$N$15=A14,2,0)+IF('Race Results'!$O$15=A14,1,0)+IF(AND('Race Results'!$Q$15=A14,'Race Results'!$R$15="Yes"),1,0),0),0)+IFERROR(IF('Race Results'!$E$16=A14,25,0)+IF('Race Results'!$G$16=A14,18,0)+IF('Race Results'!$H$16=A14,15,0)+IF('Race Results'!$I$16=A14,12,0)+IF('Race Results'!$J$16=A14,10,0)+IF('Race Results'!$K$16=A14,8,0)+IF('Race Results'!$L$16=A14,6,0)+IF('Race Results'!$M$16=A14,4,0)+IF('Race Results'!$N$16=A14,2,0)+IF('Race Results'!$O$16=A14,1,0)+IF(AND('Race Results'!$Q$16=A14,'Race Results'!$R$16="Yes"),1,0)+IF('Sprint Results'!$E$6=A14,8,0)+IF('Sprint Results'!$F$6=A14,7,0)+IF('Sprint Results'!$G$6=A14,6,0)+IF('Sprint Results'!$H$6=A14,5,0)+IF('Sprint Results'!$I$6=A14,4,0)+IF('Sprint Results'!$J$6=A14,3,0)+IF('Sprint Results'!$K$6=A14,2,0)+IF('Sprint Results'!$L$6=A14,1,0),0),0)+IFERROR(IF('Race Results'!$E$17=A14,25,0)+IF('Race Results'!$G$17=A14,18,0)+IF('Race Results'!$H$17=A14,15,0)+IF('Race Results'!$I$17=A14,12,0)+IF('Race Results'!$J$17=A14,10,0)+IF('Race Results'!$K$17=A14,8,0)+IF('Race Results'!$L$17=A14,6,0)+IF('Race Results'!$M$17=A14,4,0)+IF('Race Results'!$N$17=A14,2,0)+IF('Race Results'!$O$17=A14,1,0)+IF(AND('Race Results'!$Q$17=A14,'Race Results'!$R$17="Yes"),1,0),0),0)</f>
        <v>2</v>
      </c>
      <c r="R37" s="1" t="n">
        <v>2</v>
      </c>
      <c r="S37" s="1" t="n">
        <v>2</v>
      </c>
      <c r="T37" s="1" t="n">
        <v>2</v>
      </c>
      <c r="U37" s="1" t="n">
        <v>2</v>
      </c>
      <c r="V37" s="1" t="n">
        <v>2</v>
      </c>
      <c r="W37" s="1" t="n">
        <v>2</v>
      </c>
      <c r="X37" s="1" t="n">
        <v>2</v>
      </c>
      <c r="Y37" s="1" t="n">
        <v>2</v>
      </c>
    </row>
    <row r="38" customFormat="false" ht="14.25" hidden="false" customHeight="true" outlineLevel="0" collapsed="false">
      <c r="A38" s="1" t="s">
        <v>56</v>
      </c>
      <c r="B38" s="1" t="n">
        <f aca="false">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</f>
        <v>2</v>
      </c>
      <c r="C38" s="1" t="n">
        <f aca="false">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</f>
        <v>2</v>
      </c>
      <c r="D38" s="1" t="n">
        <f aca="false">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</f>
        <v>2</v>
      </c>
      <c r="E38" s="1" t="n">
        <f aca="false">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</f>
        <v>2</v>
      </c>
      <c r="F38" s="1" t="n">
        <f aca="false">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</f>
        <v>2</v>
      </c>
      <c r="G38" s="1" t="n">
        <f aca="false">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</f>
        <v>2</v>
      </c>
      <c r="H38" s="1" t="n">
        <f aca="false">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</f>
        <v>2</v>
      </c>
      <c r="I38" s="1" t="n">
        <f aca="false">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</f>
        <v>2</v>
      </c>
      <c r="J38" s="1" t="n">
        <f aca="false">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</f>
        <v>2</v>
      </c>
      <c r="K38" s="1" t="n">
        <f aca="false">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</f>
        <v>2</v>
      </c>
      <c r="L38" s="1" t="n">
        <f aca="false">IFERROR(IFERROR(IFERROR(IFERROR(IFERROR(IFERROR(IFERROR(IFERROR(IFERROR(IFERROR(IFERROR(IFERROR(IF('Race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Results'!$R$11="Yes"),1,0),0),0)+IFERROR(IF('Race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Results'!$R$12="Yes"),1,0),0),0)</f>
        <v>2</v>
      </c>
      <c r="M38" s="1" t="n">
        <f aca="false">IFERROR(IFERROR(IFERROR(IFERROR(IFERROR(IFERROR(IFERROR(IFERROR(IFERROR(IFERROR(IFERROR(IFERROR(IFERROR(IF('Race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Results'!$R$11="Yes"),1,0),0),0)+IFERROR(IF('Race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Results'!$R$12="Yes"),1,0),0),0)+IFERROR(IF('Race Results'!$E$13=A15,25,0)+IF('Race Results'!$G$13=A15,18,0)+IF('Race Results'!$H$13=A15,15,0)+IF('Race Results'!$I$13=A15,12,0)+IF('Race Results'!$J$13=A15,10,0)+IF('Race Results'!$K$13=A15,8,0)+IF('Race Results'!$L$13=A15,6,0)+IF('Race Results'!$M$13=A15,4,0)+IF('Race Results'!$N$13=A15,2,0)+IF('Race Results'!$O$13=A15,1,0)+IF(AND('Race Results'!$Q$13=A15,'Race Results'!$R$13="Yes"),1,0)+IF('Sprint Results'!$E$5=A15,8,0)+IF('Sprint Results'!$F$5=A15,7,0)+IF('Sprint Results'!$G$5=A15,6,0)+IF('Sprint Results'!$H$5=A15,5,0)+IF('Sprint Results'!$I$5=A15,4,0)+IF('Sprint Results'!$J$5=A15,3,0)+IF('Sprint Results'!$K$5=A15,2,0)+IF('Sprint Results'!$L$5=A15,1,0),0),0)</f>
        <v>2</v>
      </c>
      <c r="N38" s="1" t="n">
        <f aca="false">IFERROR(IFERROR(IFERROR(IFERROR(IFERROR(IFERROR(IFERROR(IFERROR(IFERROR(IFERROR(IFERROR(IFERROR(IFERROR(IFERROR(IF('Race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Results'!$R$11="Yes"),1,0),0),0)+IFERROR(IF('Race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Results'!$R$12="Yes"),1,0),0),0)+IFERROR(IF('Race Results'!$E$13=A15,25,0)+IF('Race Results'!$G$13=A15,18,0)+IF('Race Results'!$H$13=A15,15,0)+IF('Race Results'!$I$13=A15,12,0)+IF('Race Results'!$J$13=A15,10,0)+IF('Race Results'!$K$13=A15,8,0)+IF('Race Results'!$L$13=A15,6,0)+IF('Race Results'!$M$13=A15,4,0)+IF('Race Results'!$N$13=A15,2,0)+IF('Race Results'!$O$13=A15,1,0)+IF(AND('Race Results'!$Q$13=A15,'Race Results'!$R$13="Yes"),1,0)+IF('Sprint Results'!$E$5=A15,8,0)+IF('Sprint Results'!$F$5=A15,7,0)+IF('Sprint Results'!$G$5=A15,6,0)+IF('Sprint Results'!$H$5=A15,5,0)+IF('Sprint Results'!$I$5=A15,4,0)+IF('Sprint Results'!$J$5=A15,3,0)+IF('Sprint Results'!$K$5=A15,2,0)+IF('Sprint Results'!$L$5=A15,1,0),0),0)+IFERROR(IF('Race Results'!$E$14=A15,25,0)+IF('Race Results'!$G$14=A15,18,0)+IF('Race Results'!$H$14=A15,15,0)+IF('Race Results'!$I$14=A15,12,0)+IF('Race Results'!$J$14=A15,10,0)+IF('Race Results'!$K$14=A15,8,0)+IF('Race Results'!$L$14=A15,6,0)+IF('Race Results'!$M$14=A15,4,0)+IF('Race Results'!$N$14=A15,2,0)+IF('Race Results'!$O$14=A15,1,0)+IF(AND('Race Results'!$Q$14=A15,'Race Results'!$R$14="Yes"),1,0),0),0)</f>
        <v>2</v>
      </c>
      <c r="O38" s="1" t="n">
        <f aca="false">IFERROR(IFERROR(IFERROR(IFERROR(IFERROR(IFERROR(IFERROR(IFERROR(IFERROR(IFERROR(IFERROR(IFERROR(IFERROR(IFERROR(IFERROR(IF('Race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Results'!$R$11="Yes"),1,0),0),0)+IFERROR(IF('Race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Results'!$R$12="Yes"),1,0),0),0)+IFERROR(IF('Race Results'!$E$13=A15,25,0)+IF('Race Results'!$G$13=A15,18,0)+IF('Race Results'!$H$13=A15,15,0)+IF('Race Results'!$I$13=A15,12,0)+IF('Race Results'!$J$13=A15,10,0)+IF('Race Results'!$K$13=A15,8,0)+IF('Race Results'!$L$13=A15,6,0)+IF('Race Results'!$M$13=A15,4,0)+IF('Race Results'!$N$13=A15,2,0)+IF('Race Results'!$O$13=A15,1,0)+IF(AND('Race Results'!$Q$13=A15,'Race Results'!$R$13="Yes"),1,0)+IF('Sprint Results'!$E$5=A15,8,0)+IF('Sprint Results'!$F$5=A15,7,0)+IF('Sprint Results'!$G$5=A15,6,0)+IF('Sprint Results'!$H$5=A15,5,0)+IF('Sprint Results'!$I$5=A15,4,0)+IF('Sprint Results'!$J$5=A15,3,0)+IF('Sprint Results'!$K$5=A15,2,0)+IF('Sprint Results'!$L$5=A15,1,0),0),0)+IFERROR(IF('Race Results'!$E$14=A15,25,0)+IF('Race Results'!$G$14=A15,18,0)+IF('Race Results'!$H$14=A15,15,0)+IF('Race Results'!$I$14=A15,12,0)+IF('Race Results'!$J$14=A15,10,0)+IF('Race Results'!$K$14=A15,8,0)+IF('Race Results'!$L$14=A15,6,0)+IF('Race Results'!$M$14=A15,4,0)+IF('Race Results'!$N$14=A15,2,0)+IF('Race Results'!$O$14=A15,1,0)+IF(AND('Race Results'!$Q$14=A15,'Race Results'!$R$14="Yes"),1,0),0),0)+IFERROR(IF('Race Results'!$E$15=A15,25,0)+IF('Race Results'!$G$15=A15,18,0)+IF('Race Results'!$H$15=A15,15,0)+IF('Race Results'!$I$15=A15,12,0)+IF('Race Results'!$J$15=A15,10,0)+IF('Race Results'!$K$15=A15,8,0)+IF('Race Results'!$L$15=A15,6,0)+IF('Race Results'!$M$15=A15,4,0)+IF('Race Results'!$N$15=A15,2,0)+IF('Race Results'!$O$15=A15,1,0)+IF(AND('Race Results'!$Q$15=A15,'Race Results'!$R$15="Yes"),1,0),0),0)</f>
        <v>2</v>
      </c>
      <c r="P38" s="1" t="n">
        <f aca="false">IFERROR(IFERROR(IFERROR(IFERROR(IFERROR(IFERROR(IFERROR(IFERROR(IFERROR(IFERROR(IFERROR(IFERROR(IFERROR(IFERROR(IFERROR(IFERROR(IF('Race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Results'!$R$11="Yes"),1,0),0),0)+IFERROR(IF('Race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Results'!$R$12="Yes"),1,0),0),0)+IFERROR(IF('Race Results'!$E$13=A15,25,0)+IF('Race Results'!$G$13=A15,18,0)+IF('Race Results'!$H$13=A15,15,0)+IF('Race Results'!$I$13=A15,12,0)+IF('Race Results'!$J$13=A15,10,0)+IF('Race Results'!$K$13=A15,8,0)+IF('Race Results'!$L$13=A15,6,0)+IF('Race Results'!$M$13=A15,4,0)+IF('Race Results'!$N$13=A15,2,0)+IF('Race Results'!$O$13=A15,1,0)+IF(AND('Race Results'!$Q$13=A15,'Race Results'!$R$13="Yes"),1,0)+IF('Sprint Results'!$E$5=A15,8,0)+IF('Sprint Results'!$F$5=A15,7,0)+IF('Sprint Results'!$G$5=A15,6,0)+IF('Sprint Results'!$H$5=A15,5,0)+IF('Sprint Results'!$I$5=A15,4,0)+IF('Sprint Results'!$J$5=A15,3,0)+IF('Sprint Results'!$K$5=A15,2,0)+IF('Sprint Results'!$L$5=A15,1,0),0),0)+IFERROR(IF('Race Results'!$E$14=A15,25,0)+IF('Race Results'!$G$14=A15,18,0)+IF('Race Results'!$H$14=A15,15,0)+IF('Race Results'!$I$14=A15,12,0)+IF('Race Results'!$J$14=A15,10,0)+IF('Race Results'!$K$14=A15,8,0)+IF('Race Results'!$L$14=A15,6,0)+IF('Race Results'!$M$14=A15,4,0)+IF('Race Results'!$N$14=A15,2,0)+IF('Race Results'!$O$14=A15,1,0)+IF(AND('Race Results'!$Q$14=A15,'Race Results'!$R$14="Yes"),1,0),0),0)+IFERROR(IF('Race Results'!$E$15=A15,25,0)+IF('Race Results'!$G$15=A15,18,0)+IF('Race Results'!$H$15=A15,15,0)+IF('Race Results'!$I$15=A15,12,0)+IF('Race Results'!$J$15=A15,10,0)+IF('Race Results'!$K$15=A15,8,0)+IF('Race Results'!$L$15=A15,6,0)+IF('Race Results'!$M$15=A15,4,0)+IF('Race Results'!$N$15=A15,2,0)+IF('Race Results'!$O$15=A15,1,0)+IF(AND('Race Results'!$Q$15=A15,'Race Results'!$R$15="Yes"),1,0),0),0)+IFERROR(IF('Race Results'!$E$16=A15,25,0)+IF('Race Results'!$G$16=A15,18,0)+IF('Race Results'!$H$16=A15,15,0)+IF('Race Results'!$I$16=A15,12,0)+IF('Race Results'!$J$16=A15,10,0)+IF('Race Results'!$K$16=A15,8,0)+IF('Race Results'!$L$16=A15,6,0)+IF('Race Results'!$M$16=A15,4,0)+IF('Race Results'!$N$16=A15,2,0)+IF('Race Results'!$O$16=A15,1,0)+IF(AND('Race Results'!$Q$16=A15,'Race Results'!$R$16="Yes"),1,0)+IF('Sprint Results'!$E$6=A15,8,0)+IF('Sprint Results'!$F$6=A15,7,0)+IF('Sprint Results'!$G$6=A15,6,0)+IF('Sprint Results'!$H$6=A15,5,0)+IF('Sprint Results'!$I$6=A15,4,0)+IF('Sprint Results'!$J$6=A15,3,0)+IF('Sprint Results'!$K$6=A15,2,0)+IF('Sprint Results'!$L$6=A15,1,0),0),0)</f>
        <v>2</v>
      </c>
      <c r="Q38" s="1" t="n">
        <f aca="false">IFERROR(IFERROR(IFERROR(IFERROR(IFERROR(IFERROR(IFERROR(IFERROR(IFERROR(IFERROR(IFERROR(IFERROR(IFERROR(IFERROR(IFERROR(IFERROR(IFERROR(IF('Race Results'!$E$2=A15,25,0)+IF('Race Results'!$G$2=A15,18,0)+IF('Race Results'!$H$2=A15,15,0)+IF('Race Results'!$I$2=A15,12,0)+IF('Race Results'!$J$2=A15,10,0)+IF('Race Results'!$K$2=A15,8,0)+IF('Race Results'!$L$2=A15,6,0)+IF('Race Results'!$M$2=A15,4,0)+IF('Race Results'!$N$2=A15,2,0)+IF('Race Results'!$O$2=A15,1,0)+IF(AND('Race Results'!$Q$2=A15,'Race Results'!$R$2="Yes"),1,0),0),0)+IFERROR(IF('Race Results'!$E$3=A15,25,0)+IF('Race Results'!$G$3=A15,18,0)+IF('Race Results'!$H$3=A15,15,0)+IF('Race Results'!$I$3=A15,12,0)+IF('Race Results'!$J$3=A15,10,0)+IF('Race Results'!$K$3=A15,8,0)+IF('Race Results'!$L$3=A15,6,0)+IF('Race Results'!$M$3=A15,4,0)+IF('Race Results'!$N$3=A15,2,0)+IF('Race Results'!$O$3=A15,1,0)+IF(AND('Race Results'!$Q$3=A15,'Race Results'!$R$3="Yes"),1,0)+IF('Sprint Results'!$E$2=A15,8,0)+IF('Sprint Results'!$F$2=A15,7,0)+IF('Sprint Results'!$G$2=A15,6,0)+IF('Sprint Results'!$H$2=A15,5,0)+IF('Sprint Results'!$I$2=A15,4,0)+IF('Sprint Results'!$J$2=A15,3,0)+IF('Sprint Results'!$K$2=A15,2,0)+IF('Sprint Results'!$L$2=A15,1,0),0),0)+IFERROR(IF('Race Results'!$E$4=A15,25,0)+IF('Race Results'!$G$4=A15,18,0)+IF('Race Results'!$H$4=A15,15,0)+IF('Race Results'!$I$4=A15,12,0)+IF('Race Results'!$J$4=A15,10,0)+IF('Race Results'!$K$4=A15,8,0)+IF('Race Results'!$L$4=A15,6,0)+IF('Race Results'!$M$4=A15,4,0)+IF('Race Results'!$N$4=A15,2,0)+IF('Race Results'!$O$4=A15,1,0)+IF(AND('Race Results'!$Q$4=A15,'Race Results'!$R$4="Yes"),1,0),0),0)+IFERROR(IF('Race Results'!$E$5=A15,25,0)+IF('Race Results'!$G$5=A15,18,0)+IF('Race Results'!$H$5=A15,15,0)+IF('Race Results'!$I$5=A15,12,0)+IF('Race Results'!$J$5=A15,10,0)+IF('Race Results'!$K$5=A15,8,0)+IF('Race Results'!$L$5=A15,6,0)+IF('Race Results'!$M$5=A15,4,0)+IF('Race Results'!$N$5=A15,2,0)+IF('Race Results'!$O$5=A15,1,0)+IF(AND('Race Results'!$Q$5=A15,'Race Results'!$R$5="Yes"),1,0),0),0)+IFERROR(IF('Race Results'!$E$6=A15,25,0)+IF('Race Results'!$G$6=A15,18,0)+IF('Race Results'!$H$6=A15,15,0)+IF('Race Results'!$I$6=A15,12,0)+IF('Race Results'!$J$6=A15,10,0)+IF('Race Results'!$K$6=A15,8,0)+IF('Race Results'!$L$6=A15,6,0)+IF('Race Results'!$M$6=A15,4,0)+IF('Race Results'!$N$6=A15,2,0)+IF('Race Results'!$O$6=A15,1,0)+IF(AND('Race Results'!$Q$6=A15,'Race Results'!$R$6="Yes"),1,0),0),0)+IFERROR(IF('Race Results'!$E$7=A15,25,0)+IF('Race Results'!$G$7=A15,18,0)+IF('Race Results'!$H$7=A15,15,0)+IF('Race Results'!$I$7=A15,12,0)+IF('Race Results'!$J$7=A15,10,0)+IF('Race Results'!$K$7=A15,8,0)+IF('Race Results'!$L$7=A15,6,0)+IF('Race Results'!$M$7=A15,4,0)+IF('Race Results'!$N$7=A15,2,0)+IF('Race Results'!$O$7=A15,1,0)+IF(AND('Race Results'!$Q$7=A15,'Race Results'!$R$7="Yes"),1,0)+IF('Sprint Results'!$E$3=A15,8,0)+IF('Sprint Results'!$F$3=A15,7,0)+IF('Sprint Results'!$G$3=A15,6,0)+IF('Sprint Results'!$H$3=A15,5,0)+IF('Sprint Results'!$I$3=A15,4,0)+IF('Sprint Results'!$J$3=A15,3,0)+IF('Sprint Results'!$K$3=A15,2,0)+IF('Sprint Results'!$L$3=A15,1,0),0),0)+IFERROR(IF('Race Results'!$E$8=A15,25,0)+IF('Race Results'!$G$8=A15,18,0)+IF('Race Results'!$H$8=A15,15,0)+IF('Race Results'!$I$8=A15,12,0)+IF('Race Results'!$J$8=A15,10,0)+IF('Race Results'!$K$8=A15,8,0)+IF('Race Results'!$L$8=A15,6,0)+IF('Race Results'!$M$8=A15,4,0)+IF('Race Results'!$N$8=A15,2,0)+IF('Race Results'!$O$8=A15,1,0)+IF(AND('Race Results'!$Q$8=A15,'Race Results'!$R$8="Yes"),1,0)+IF('Sprint Results'!$E$4=A15,8,0)+IF('Sprint Results'!$F$4=A15,7,0)+IF('Sprint Results'!$G$4=A15,6,0)+IF('Sprint Results'!$H$4=A15,5,0)+IF('Sprint Results'!$I$4=A15,4,0)+IF('Sprint Results'!$J$4=A15,3,0)+IF('Sprint Results'!$K$4=A15,2,0)+IF('Sprint Results'!$L$4=A15,1,0),0),0)+IFERROR(IF('Race Results'!$E$9=A15,25,0)+IF('Race Results'!$G$9=A15,18,0)+IF('Race Results'!$H$9=A15,15,0)+IF('Race Results'!$I$9=A15,12,0)+IF('Race Results'!$J$9=A15,10,0)+IF('Race Results'!$K$9=A15,8,0)+IF('Race Results'!$L$9=A15,6,0)+IF('Race Results'!$M$9=A15,4,0)+IF('Race Results'!$N$9=A15,2,0)+IF('Race Results'!$O$9=A15,1,0)+IF(AND('Race Results'!$Q$9=A15,'Race Results'!$R$9="Yes"),1,0),0),0)+IFERROR(IF('Race Results'!$E$10=A15,25,0)+IF('Race Results'!$G$10=A15,18,0)+IF('Race Results'!$H$10=A15,15,0)+IF('Race Results'!$I$10=A15,12,0)+IF('Race Results'!$J$10=A15,10,0)+IF('Race Results'!$K$10=A15,8,0)+IF('Race Results'!$L$10=A15,6,0)+IF('Race Results'!$M$10=A15,4,0)+IF('Race Results'!$N$10=A15,2,0)+IF('Race Results'!$O$10=A15,1,0)+IF(AND('Race Results'!$Q$10=A15,'Race Results'!$R$10="Yes"),1,0),0),0)+IFERROR(IF('Race Results'!$E$11=A15,25,0)+IF('Race Results'!$G$11=A15,18,0)+IF('Race Results'!$H$11=A15,15,0)+IF('Race Results'!$I$11=A15,12,0)+IF('Race Results'!$J$11=A15,10,0)+IF('Race Results'!$K$11=A15,8,0)+IF('Race Results'!$L$11=A15,6,0)+IF('Race Results'!$M$11=A15,4,0)+IF('Race Results'!$N$11=A15,2,0)+IF('Race Results'!$O$11=A15,1,0)+IF(AND('Race Results'!$Q$11=A15,'Race Results'!$R$11="Yes"),1,0),0),0)+IFERROR(IF('Race Results'!$E$12=A15,25,0)+IF('Race Results'!$G$12=A15,18,0)+IF('Race Results'!$H$12=A15,15,0)+IF('Race Results'!$I$12=A15,12,0)+IF('Race Results'!$J$12=A15,10,0)+IF('Race Results'!$K$12=A15,8,0)+IF('Race Results'!$L$12=A15,6,0)+IF('Race Results'!$M$12=A15,4,0)+IF('Race Results'!$N$12=A15,2,0)+IF('Race Results'!$O$12=A15,1,0)+IF(AND('Race Results'!$Q$12=A15,'Race Results'!$R$12="Yes"),1,0),0),0)+IFERROR(IF('Race Results'!$E$13=A15,25,0)+IF('Race Results'!$G$13=A15,18,0)+IF('Race Results'!$H$13=A15,15,0)+IF('Race Results'!$I$13=A15,12,0)+IF('Race Results'!$J$13=A15,10,0)+IF('Race Results'!$K$13=A15,8,0)+IF('Race Results'!$L$13=A15,6,0)+IF('Race Results'!$M$13=A15,4,0)+IF('Race Results'!$N$13=A15,2,0)+IF('Race Results'!$O$13=A15,1,0)+IF(AND('Race Results'!$Q$13=A15,'Race Results'!$R$13="Yes"),1,0)+IF('Sprint Results'!$E$5=A15,8,0)+IF('Sprint Results'!$F$5=A15,7,0)+IF('Sprint Results'!$G$5=A15,6,0)+IF('Sprint Results'!$H$5=A15,5,0)+IF('Sprint Results'!$I$5=A15,4,0)+IF('Sprint Results'!$J$5=A15,3,0)+IF('Sprint Results'!$K$5=A15,2,0)+IF('Sprint Results'!$L$5=A15,1,0),0),0)+IFERROR(IF('Race Results'!$E$14=A15,25,0)+IF('Race Results'!$G$14=A15,18,0)+IF('Race Results'!$H$14=A15,15,0)+IF('Race Results'!$I$14=A15,12,0)+IF('Race Results'!$J$14=A15,10,0)+IF('Race Results'!$K$14=A15,8,0)+IF('Race Results'!$L$14=A15,6,0)+IF('Race Results'!$M$14=A15,4,0)+IF('Race Results'!$N$14=A15,2,0)+IF('Race Results'!$O$14=A15,1,0)+IF(AND('Race Results'!$Q$14=A15,'Race Results'!$R$14="Yes"),1,0),0),0)+IFERROR(IF('Race Results'!$E$15=A15,25,0)+IF('Race Results'!$G$15=A15,18,0)+IF('Race Results'!$H$15=A15,15,0)+IF('Race Results'!$I$15=A15,12,0)+IF('Race Results'!$J$15=A15,10,0)+IF('Race Results'!$K$15=A15,8,0)+IF('Race Results'!$L$15=A15,6,0)+IF('Race Results'!$M$15=A15,4,0)+IF('Race Results'!$N$15=A15,2,0)+IF('Race Results'!$O$15=A15,1,0)+IF(AND('Race Results'!$Q$15=A15,'Race Results'!$R$15="Yes"),1,0),0),0)+IFERROR(IF('Race Results'!$E$16=A15,25,0)+IF('Race Results'!$G$16=A15,18,0)+IF('Race Results'!$H$16=A15,15,0)+IF('Race Results'!$I$16=A15,12,0)+IF('Race Results'!$J$16=A15,10,0)+IF('Race Results'!$K$16=A15,8,0)+IF('Race Results'!$L$16=A15,6,0)+IF('Race Results'!$M$16=A15,4,0)+IF('Race Results'!$N$16=A15,2,0)+IF('Race Results'!$O$16=A15,1,0)+IF(AND('Race Results'!$Q$16=A15,'Race Results'!$R$16="Yes"),1,0)+IF('Sprint Results'!$E$6=A15,8,0)+IF('Sprint Results'!$F$6=A15,7,0)+IF('Sprint Results'!$G$6=A15,6,0)+IF('Sprint Results'!$H$6=A15,5,0)+IF('Sprint Results'!$I$6=A15,4,0)+IF('Sprint Results'!$J$6=A15,3,0)+IF('Sprint Results'!$K$6=A15,2,0)+IF('Sprint Results'!$L$6=A15,1,0),0),0)+IFERROR(IF('Race Results'!$E$17=A15,25,0)+IF('Race Results'!$G$17=A15,18,0)+IF('Race Results'!$H$17=A15,15,0)+IF('Race Results'!$I$17=A15,12,0)+IF('Race Results'!$J$17=A15,10,0)+IF('Race Results'!$K$17=A15,8,0)+IF('Race Results'!$L$17=A15,6,0)+IF('Race Results'!$M$17=A15,4,0)+IF('Race Results'!$N$17=A15,2,0)+IF('Race Results'!$O$17=A15,1,0)+IF(AND('Race Results'!$Q$17=A15,'Race Results'!$R$17="Yes"),1,0),0),0)</f>
        <v>2</v>
      </c>
      <c r="R38" s="1" t="n">
        <v>2</v>
      </c>
      <c r="S38" s="1" t="n">
        <v>2</v>
      </c>
      <c r="T38" s="1" t="n">
        <v>2</v>
      </c>
      <c r="U38" s="1" t="n">
        <v>2</v>
      </c>
      <c r="V38" s="1" t="n">
        <v>2</v>
      </c>
      <c r="W38" s="1" t="n">
        <v>2</v>
      </c>
      <c r="X38" s="1" t="n">
        <v>2</v>
      </c>
      <c r="Y38" s="1" t="n">
        <v>2</v>
      </c>
    </row>
    <row r="39" customFormat="false" ht="14.25" hidden="false" customHeight="true" outlineLevel="0" collapsed="false">
      <c r="A39" s="1" t="s">
        <v>64</v>
      </c>
      <c r="B39" s="1" t="n">
        <f aca="false">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</f>
        <v>0</v>
      </c>
      <c r="C39" s="1" t="n">
        <f aca="false">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</f>
        <v>1</v>
      </c>
      <c r="D39" s="1" t="n">
        <f aca="false">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</f>
        <v>1</v>
      </c>
      <c r="E39" s="1" t="n">
        <f aca="false">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</f>
        <v>1</v>
      </c>
      <c r="F39" s="1" t="n">
        <f aca="false">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</f>
        <v>1</v>
      </c>
      <c r="G39" s="1" t="n">
        <f aca="false">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</f>
        <v>1</v>
      </c>
      <c r="H39" s="1" t="n">
        <f aca="false">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</f>
        <v>1</v>
      </c>
      <c r="I39" s="1" t="n">
        <f aca="false">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</f>
        <v>1</v>
      </c>
      <c r="J39" s="1" t="n">
        <f aca="false">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</f>
        <v>1</v>
      </c>
      <c r="K39" s="1" t="n">
        <f aca="false">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</f>
        <v>1</v>
      </c>
      <c r="L39" s="1" t="n">
        <f aca="false">IFERROR(IFERROR(IFERROR(IFERROR(IFERROR(IFERROR(IFERROR(IFERROR(IFERROR(IFERROR(IFERROR(IFERROR(IF('Race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Results'!$R$11="Yes"),1,0),0),0)+IFERROR(IF('Race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Results'!$R$12="Yes"),1,0),0),0)</f>
        <v>1</v>
      </c>
      <c r="M39" s="1" t="n">
        <f aca="false">IFERROR(IFERROR(IFERROR(IFERROR(IFERROR(IFERROR(IFERROR(IFERROR(IFERROR(IFERROR(IFERROR(IFERROR(IFERROR(IF('Race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Results'!$R$11="Yes"),1,0),0),0)+IFERROR(IF('Race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Results'!$R$12="Yes"),1,0),0),0)+IFERROR(IF('Race Results'!$E$13=A16,25,0)+IF('Race Results'!$G$13=A16,18,0)+IF('Race Results'!$H$13=A16,15,0)+IF('Race Results'!$I$13=A16,12,0)+IF('Race Results'!$J$13=A16,10,0)+IF('Race Results'!$K$13=A16,8,0)+IF('Race Results'!$L$13=A16,6,0)+IF('Race Results'!$M$13=A16,4,0)+IF('Race Results'!$N$13=A16,2,0)+IF('Race Results'!$O$13=A16,1,0)+IF(AND('Race Results'!$Q$13=A16,'Race Results'!$R$13="Yes"),1,0)+IF('Sprint Results'!$E$5=A16,8,0)+IF('Sprint Results'!$F$5=A16,7,0)+IF('Sprint Results'!$G$5=A16,6,0)+IF('Sprint Results'!$H$5=A16,5,0)+IF('Sprint Results'!$I$5=A16,4,0)+IF('Sprint Results'!$J$5=A16,3,0)+IF('Sprint Results'!$K$5=A16,2,0)+IF('Sprint Results'!$L$5=A16,1,0),0),0)</f>
        <v>1</v>
      </c>
      <c r="N39" s="1" t="n">
        <f aca="false">IFERROR(IFERROR(IFERROR(IFERROR(IFERROR(IFERROR(IFERROR(IFERROR(IFERROR(IFERROR(IFERROR(IFERROR(IFERROR(IFERROR(IF('Race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Results'!$R$11="Yes"),1,0),0),0)+IFERROR(IF('Race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Results'!$R$12="Yes"),1,0),0),0)+IFERROR(IF('Race Results'!$E$13=A16,25,0)+IF('Race Results'!$G$13=A16,18,0)+IF('Race Results'!$H$13=A16,15,0)+IF('Race Results'!$I$13=A16,12,0)+IF('Race Results'!$J$13=A16,10,0)+IF('Race Results'!$K$13=A16,8,0)+IF('Race Results'!$L$13=A16,6,0)+IF('Race Results'!$M$13=A16,4,0)+IF('Race Results'!$N$13=A16,2,0)+IF('Race Results'!$O$13=A16,1,0)+IF(AND('Race Results'!$Q$13=A16,'Race Results'!$R$13="Yes"),1,0)+IF('Sprint Results'!$E$5=A16,8,0)+IF('Sprint Results'!$F$5=A16,7,0)+IF('Sprint Results'!$G$5=A16,6,0)+IF('Sprint Results'!$H$5=A16,5,0)+IF('Sprint Results'!$I$5=A16,4,0)+IF('Sprint Results'!$J$5=A16,3,0)+IF('Sprint Results'!$K$5=A16,2,0)+IF('Sprint Results'!$L$5=A16,1,0),0),0)+IFERROR(IF('Race Results'!$E$14=A16,25,0)+IF('Race Results'!$G$14=A16,18,0)+IF('Race Results'!$H$14=A16,15,0)+IF('Race Results'!$I$14=A16,12,0)+IF('Race Results'!$J$14=A16,10,0)+IF('Race Results'!$K$14=A16,8,0)+IF('Race Results'!$L$14=A16,6,0)+IF('Race Results'!$M$14=A16,4,0)+IF('Race Results'!$N$14=A16,2,0)+IF('Race Results'!$O$14=A16,1,0)+IF(AND('Race Results'!$Q$14=A16,'Race Results'!$R$14="Yes"),1,0),0),0)</f>
        <v>1</v>
      </c>
      <c r="O39" s="1" t="n">
        <f aca="false">IFERROR(IFERROR(IFERROR(IFERROR(IFERROR(IFERROR(IFERROR(IFERROR(IFERROR(IFERROR(IFERROR(IFERROR(IFERROR(IFERROR(IFERROR(IF('Race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Results'!$R$11="Yes"),1,0),0),0)+IFERROR(IF('Race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Results'!$R$12="Yes"),1,0),0),0)+IFERROR(IF('Race Results'!$E$13=A16,25,0)+IF('Race Results'!$G$13=A16,18,0)+IF('Race Results'!$H$13=A16,15,0)+IF('Race Results'!$I$13=A16,12,0)+IF('Race Results'!$J$13=A16,10,0)+IF('Race Results'!$K$13=A16,8,0)+IF('Race Results'!$L$13=A16,6,0)+IF('Race Results'!$M$13=A16,4,0)+IF('Race Results'!$N$13=A16,2,0)+IF('Race Results'!$O$13=A16,1,0)+IF(AND('Race Results'!$Q$13=A16,'Race Results'!$R$13="Yes"),1,0)+IF('Sprint Results'!$E$5=A16,8,0)+IF('Sprint Results'!$F$5=A16,7,0)+IF('Sprint Results'!$G$5=A16,6,0)+IF('Sprint Results'!$H$5=A16,5,0)+IF('Sprint Results'!$I$5=A16,4,0)+IF('Sprint Results'!$J$5=A16,3,0)+IF('Sprint Results'!$K$5=A16,2,0)+IF('Sprint Results'!$L$5=A16,1,0),0),0)+IFERROR(IF('Race Results'!$E$14=A16,25,0)+IF('Race Results'!$G$14=A16,18,0)+IF('Race Results'!$H$14=A16,15,0)+IF('Race Results'!$I$14=A16,12,0)+IF('Race Results'!$J$14=A16,10,0)+IF('Race Results'!$K$14=A16,8,0)+IF('Race Results'!$L$14=A16,6,0)+IF('Race Results'!$M$14=A16,4,0)+IF('Race Results'!$N$14=A16,2,0)+IF('Race Results'!$O$14=A16,1,0)+IF(AND('Race Results'!$Q$14=A16,'Race Results'!$R$14="Yes"),1,0),0),0)+IFERROR(IF('Race Results'!$E$15=A16,25,0)+IF('Race Results'!$G$15=A16,18,0)+IF('Race Results'!$H$15=A16,15,0)+IF('Race Results'!$I$15=A16,12,0)+IF('Race Results'!$J$15=A16,10,0)+IF('Race Results'!$K$15=A16,8,0)+IF('Race Results'!$L$15=A16,6,0)+IF('Race Results'!$M$15=A16,4,0)+IF('Race Results'!$N$15=A16,2,0)+IF('Race Results'!$O$15=A16,1,0)+IF(AND('Race Results'!$Q$15=A16,'Race Results'!$R$15="Yes"),1,0),0),0)</f>
        <v>1</v>
      </c>
      <c r="P39" s="1" t="n">
        <f aca="false">IFERROR(IFERROR(IFERROR(IFERROR(IFERROR(IFERROR(IFERROR(IFERROR(IFERROR(IFERROR(IFERROR(IFERROR(IFERROR(IFERROR(IFERROR(IFERROR(IF('Race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Results'!$R$11="Yes"),1,0),0),0)+IFERROR(IF('Race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Results'!$R$12="Yes"),1,0),0),0)+IFERROR(IF('Race Results'!$E$13=A16,25,0)+IF('Race Results'!$G$13=A16,18,0)+IF('Race Results'!$H$13=A16,15,0)+IF('Race Results'!$I$13=A16,12,0)+IF('Race Results'!$J$13=A16,10,0)+IF('Race Results'!$K$13=A16,8,0)+IF('Race Results'!$L$13=A16,6,0)+IF('Race Results'!$M$13=A16,4,0)+IF('Race Results'!$N$13=A16,2,0)+IF('Race Results'!$O$13=A16,1,0)+IF(AND('Race Results'!$Q$13=A16,'Race Results'!$R$13="Yes"),1,0)+IF('Sprint Results'!$E$5=A16,8,0)+IF('Sprint Results'!$F$5=A16,7,0)+IF('Sprint Results'!$G$5=A16,6,0)+IF('Sprint Results'!$H$5=A16,5,0)+IF('Sprint Results'!$I$5=A16,4,0)+IF('Sprint Results'!$J$5=A16,3,0)+IF('Sprint Results'!$K$5=A16,2,0)+IF('Sprint Results'!$L$5=A16,1,0),0),0)+IFERROR(IF('Race Results'!$E$14=A16,25,0)+IF('Race Results'!$G$14=A16,18,0)+IF('Race Results'!$H$14=A16,15,0)+IF('Race Results'!$I$14=A16,12,0)+IF('Race Results'!$J$14=A16,10,0)+IF('Race Results'!$K$14=A16,8,0)+IF('Race Results'!$L$14=A16,6,0)+IF('Race Results'!$M$14=A16,4,0)+IF('Race Results'!$N$14=A16,2,0)+IF('Race Results'!$O$14=A16,1,0)+IF(AND('Race Results'!$Q$14=A16,'Race Results'!$R$14="Yes"),1,0),0),0)+IFERROR(IF('Race Results'!$E$15=A16,25,0)+IF('Race Results'!$G$15=A16,18,0)+IF('Race Results'!$H$15=A16,15,0)+IF('Race Results'!$I$15=A16,12,0)+IF('Race Results'!$J$15=A16,10,0)+IF('Race Results'!$K$15=A16,8,0)+IF('Race Results'!$L$15=A16,6,0)+IF('Race Results'!$M$15=A16,4,0)+IF('Race Results'!$N$15=A16,2,0)+IF('Race Results'!$O$15=A16,1,0)+IF(AND('Race Results'!$Q$15=A16,'Race Results'!$R$15="Yes"),1,0),0),0)+IFERROR(IF('Race Results'!$E$16=A16,25,0)+IF('Race Results'!$G$16=A16,18,0)+IF('Race Results'!$H$16=A16,15,0)+IF('Race Results'!$I$16=A16,12,0)+IF('Race Results'!$J$16=A16,10,0)+IF('Race Results'!$K$16=A16,8,0)+IF('Race Results'!$L$16=A16,6,0)+IF('Race Results'!$M$16=A16,4,0)+IF('Race Results'!$N$16=A16,2,0)+IF('Race Results'!$O$16=A16,1,0)+IF(AND('Race Results'!$Q$16=A16,'Race Results'!$R$16="Yes"),1,0)+IF('Sprint Results'!$E$6=A16,8,0)+IF('Sprint Results'!$F$6=A16,7,0)+IF('Sprint Results'!$G$6=A16,6,0)+IF('Sprint Results'!$H$6=A16,5,0)+IF('Sprint Results'!$I$6=A16,4,0)+IF('Sprint Results'!$J$6=A16,3,0)+IF('Sprint Results'!$K$6=A16,2,0)+IF('Sprint Results'!$L$6=A16,1,0),0),0)</f>
        <v>1</v>
      </c>
      <c r="Q39" s="1" t="n">
        <f aca="false">IFERROR(IFERROR(IFERROR(IFERROR(IFERROR(IFERROR(IFERROR(IFERROR(IFERROR(IFERROR(IFERROR(IFERROR(IFERROR(IFERROR(IFERROR(IFERROR(IFERROR(IF('Race Results'!$E$2=A16,25,0)+IF('Race Results'!$G$2=A16,18,0)+IF('Race Results'!$H$2=A16,15,0)+IF('Race Results'!$I$2=A16,12,0)+IF('Race Results'!$J$2=A16,10,0)+IF('Race Results'!$K$2=A16,8,0)+IF('Race Results'!$L$2=A16,6,0)+IF('Race Results'!$M$2=A16,4,0)+IF('Race Results'!$N$2=A16,2,0)+IF('Race Results'!$O$2=A16,1,0)+IF(AND('Race Results'!$Q$2=A16,'Race Results'!$R$2="Yes"),1,0),0),0)+IFERROR(IF('Race Results'!$E$3=A16,25,0)+IF('Race Results'!$G$3=A16,18,0)+IF('Race Results'!$H$3=A16,15,0)+IF('Race Results'!$I$3=A16,12,0)+IF('Race Results'!$J$3=A16,10,0)+IF('Race Results'!$K$3=A16,8,0)+IF('Race Results'!$L$3=A16,6,0)+IF('Race Results'!$M$3=A16,4,0)+IF('Race Results'!$N$3=A16,2,0)+IF('Race Results'!$O$3=A16,1,0)+IF(AND('Race Results'!$Q$3=A16,'Race Results'!$R$3="Yes"),1,0)+IF('Sprint Results'!$E$2=A16,8,0)+IF('Sprint Results'!$F$2=A16,7,0)+IF('Sprint Results'!$G$2=A16,6,0)+IF('Sprint Results'!$H$2=A16,5,0)+IF('Sprint Results'!$I$2=A16,4,0)+IF('Sprint Results'!$J$2=A16,3,0)+IF('Sprint Results'!$K$2=A16,2,0)+IF('Sprint Results'!$L$2=A16,1,0),0),0)+IFERROR(IF('Race Results'!$E$4=A16,25,0)+IF('Race Results'!$G$4=A16,18,0)+IF('Race Results'!$H$4=A16,15,0)+IF('Race Results'!$I$4=A16,12,0)+IF('Race Results'!$J$4=A16,10,0)+IF('Race Results'!$K$4=A16,8,0)+IF('Race Results'!$L$4=A16,6,0)+IF('Race Results'!$M$4=A16,4,0)+IF('Race Results'!$N$4=A16,2,0)+IF('Race Results'!$O$4=A16,1,0)+IF(AND('Race Results'!$Q$4=A16,'Race Results'!$R$4="Yes"),1,0),0),0)+IFERROR(IF('Race Results'!$E$5=A16,25,0)+IF('Race Results'!$G$5=A16,18,0)+IF('Race Results'!$H$5=A16,15,0)+IF('Race Results'!$I$5=A16,12,0)+IF('Race Results'!$J$5=A16,10,0)+IF('Race Results'!$K$5=A16,8,0)+IF('Race Results'!$L$5=A16,6,0)+IF('Race Results'!$M$5=A16,4,0)+IF('Race Results'!$N$5=A16,2,0)+IF('Race Results'!$O$5=A16,1,0)+IF(AND('Race Results'!$Q$5=A16,'Race Results'!$R$5="Yes"),1,0),0),0)+IFERROR(IF('Race Results'!$E$6=A16,25,0)+IF('Race Results'!$G$6=A16,18,0)+IF('Race Results'!$H$6=A16,15,0)+IF('Race Results'!$I$6=A16,12,0)+IF('Race Results'!$J$6=A16,10,0)+IF('Race Results'!$K$6=A16,8,0)+IF('Race Results'!$L$6=A16,6,0)+IF('Race Results'!$M$6=A16,4,0)+IF('Race Results'!$N$6=A16,2,0)+IF('Race Results'!$O$6=A16,1,0)+IF(AND('Race Results'!$Q$6=A16,'Race Results'!$R$6="Yes"),1,0),0),0)+IFERROR(IF('Race Results'!$E$7=A16,25,0)+IF('Race Results'!$G$7=A16,18,0)+IF('Race Results'!$H$7=A16,15,0)+IF('Race Results'!$I$7=A16,12,0)+IF('Race Results'!$J$7=A16,10,0)+IF('Race Results'!$K$7=A16,8,0)+IF('Race Results'!$L$7=A16,6,0)+IF('Race Results'!$M$7=A16,4,0)+IF('Race Results'!$N$7=A16,2,0)+IF('Race Results'!$O$7=A16,1,0)+IF(AND('Race Results'!$Q$7=A16,'Race Results'!$R$7="Yes"),1,0)+IF('Sprint Results'!$E$3=A16,8,0)+IF('Sprint Results'!$F$3=A16,7,0)+IF('Sprint Results'!$G$3=A16,6,0)+IF('Sprint Results'!$H$3=A16,5,0)+IF('Sprint Results'!$I$3=A16,4,0)+IF('Sprint Results'!$J$3=A16,3,0)+IF('Sprint Results'!$K$3=A16,2,0)+IF('Sprint Results'!$L$3=A16,1,0),0),0)+IFERROR(IF('Race Results'!$E$8=A16,25,0)+IF('Race Results'!$G$8=A16,18,0)+IF('Race Results'!$H$8=A16,15,0)+IF('Race Results'!$I$8=A16,12,0)+IF('Race Results'!$J$8=A16,10,0)+IF('Race Results'!$K$8=A16,8,0)+IF('Race Results'!$L$8=A16,6,0)+IF('Race Results'!$M$8=A16,4,0)+IF('Race Results'!$N$8=A16,2,0)+IF('Race Results'!$O$8=A16,1,0)+IF(AND('Race Results'!$Q$8=A16,'Race Results'!$R$8="Yes"),1,0)+IF('Sprint Results'!$E$4=A16,8,0)+IF('Sprint Results'!$F$4=A16,7,0)+IF('Sprint Results'!$G$4=A16,6,0)+IF('Sprint Results'!$H$4=A16,5,0)+IF('Sprint Results'!$I$4=A16,4,0)+IF('Sprint Results'!$J$4=A16,3,0)+IF('Sprint Results'!$K$4=A16,2,0)+IF('Sprint Results'!$L$4=A16,1,0),0),0)+IFERROR(IF('Race Results'!$E$9=A16,25,0)+IF('Race Results'!$G$9=A16,18,0)+IF('Race Results'!$H$9=A16,15,0)+IF('Race Results'!$I$9=A16,12,0)+IF('Race Results'!$J$9=A16,10,0)+IF('Race Results'!$K$9=A16,8,0)+IF('Race Results'!$L$9=A16,6,0)+IF('Race Results'!$M$9=A16,4,0)+IF('Race Results'!$N$9=A16,2,0)+IF('Race Results'!$O$9=A16,1,0)+IF(AND('Race Results'!$Q$9=A16,'Race Results'!$R$9="Yes"),1,0),0),0)+IFERROR(IF('Race Results'!$E$10=A16,25,0)+IF('Race Results'!$G$10=A16,18,0)+IF('Race Results'!$H$10=A16,15,0)+IF('Race Results'!$I$10=A16,12,0)+IF('Race Results'!$J$10=A16,10,0)+IF('Race Results'!$K$10=A16,8,0)+IF('Race Results'!$L$10=A16,6,0)+IF('Race Results'!$M$10=A16,4,0)+IF('Race Results'!$N$10=A16,2,0)+IF('Race Results'!$O$10=A16,1,0)+IF(AND('Race Results'!$Q$10=A16,'Race Results'!$R$10="Yes"),1,0),0),0)+IFERROR(IF('Race Results'!$E$11=A16,25,0)+IF('Race Results'!$G$11=A16,18,0)+IF('Race Results'!$H$11=A16,15,0)+IF('Race Results'!$I$11=A16,12,0)+IF('Race Results'!$J$11=A16,10,0)+IF('Race Results'!$K$11=A16,8,0)+IF('Race Results'!$L$11=A16,6,0)+IF('Race Results'!$M$11=A16,4,0)+IF('Race Results'!$N$11=A16,2,0)+IF('Race Results'!$O$11=A16,1,0)+IF(AND('Race Results'!$Q$11=A16,'Race Results'!$R$11="Yes"),1,0),0),0)+IFERROR(IF('Race Results'!$E$12=A16,25,0)+IF('Race Results'!$G$12=A16,18,0)+IF('Race Results'!$H$12=A16,15,0)+IF('Race Results'!$I$12=A16,12,0)+IF('Race Results'!$J$12=A16,10,0)+IF('Race Results'!$K$12=A16,8,0)+IF('Race Results'!$L$12=A16,6,0)+IF('Race Results'!$M$12=A16,4,0)+IF('Race Results'!$N$12=A16,2,0)+IF('Race Results'!$O$12=A16,1,0)+IF(AND('Race Results'!$Q$12=A16,'Race Results'!$R$12="Yes"),1,0),0),0)+IFERROR(IF('Race Results'!$E$13=A16,25,0)+IF('Race Results'!$G$13=A16,18,0)+IF('Race Results'!$H$13=A16,15,0)+IF('Race Results'!$I$13=A16,12,0)+IF('Race Results'!$J$13=A16,10,0)+IF('Race Results'!$K$13=A16,8,0)+IF('Race Results'!$L$13=A16,6,0)+IF('Race Results'!$M$13=A16,4,0)+IF('Race Results'!$N$13=A16,2,0)+IF('Race Results'!$O$13=A16,1,0)+IF(AND('Race Results'!$Q$13=A16,'Race Results'!$R$13="Yes"),1,0)+IF('Sprint Results'!$E$5=A16,8,0)+IF('Sprint Results'!$F$5=A16,7,0)+IF('Sprint Results'!$G$5=A16,6,0)+IF('Sprint Results'!$H$5=A16,5,0)+IF('Sprint Results'!$I$5=A16,4,0)+IF('Sprint Results'!$J$5=A16,3,0)+IF('Sprint Results'!$K$5=A16,2,0)+IF('Sprint Results'!$L$5=A16,1,0),0),0)+IFERROR(IF('Race Results'!$E$14=A16,25,0)+IF('Race Results'!$G$14=A16,18,0)+IF('Race Results'!$H$14=A16,15,0)+IF('Race Results'!$I$14=A16,12,0)+IF('Race Results'!$J$14=A16,10,0)+IF('Race Results'!$K$14=A16,8,0)+IF('Race Results'!$L$14=A16,6,0)+IF('Race Results'!$M$14=A16,4,0)+IF('Race Results'!$N$14=A16,2,0)+IF('Race Results'!$O$14=A16,1,0)+IF(AND('Race Results'!$Q$14=A16,'Race Results'!$R$14="Yes"),1,0),0),0)+IFERROR(IF('Race Results'!$E$15=A16,25,0)+IF('Race Results'!$G$15=A16,18,0)+IF('Race Results'!$H$15=A16,15,0)+IF('Race Results'!$I$15=A16,12,0)+IF('Race Results'!$J$15=A16,10,0)+IF('Race Results'!$K$15=A16,8,0)+IF('Race Results'!$L$15=A16,6,0)+IF('Race Results'!$M$15=A16,4,0)+IF('Race Results'!$N$15=A16,2,0)+IF('Race Results'!$O$15=A16,1,0)+IF(AND('Race Results'!$Q$15=A16,'Race Results'!$R$15="Yes"),1,0),0),0)+IFERROR(IF('Race Results'!$E$16=A16,25,0)+IF('Race Results'!$G$16=A16,18,0)+IF('Race Results'!$H$16=A16,15,0)+IF('Race Results'!$I$16=A16,12,0)+IF('Race Results'!$J$16=A16,10,0)+IF('Race Results'!$K$16=A16,8,0)+IF('Race Results'!$L$16=A16,6,0)+IF('Race Results'!$M$16=A16,4,0)+IF('Race Results'!$N$16=A16,2,0)+IF('Race Results'!$O$16=A16,1,0)+IF(AND('Race Results'!$Q$16=A16,'Race Results'!$R$16="Yes"),1,0)+IF('Sprint Results'!$E$6=A16,8,0)+IF('Sprint Results'!$F$6=A16,7,0)+IF('Sprint Results'!$G$6=A16,6,0)+IF('Sprint Results'!$H$6=A16,5,0)+IF('Sprint Results'!$I$6=A16,4,0)+IF('Sprint Results'!$J$6=A16,3,0)+IF('Sprint Results'!$K$6=A16,2,0)+IF('Sprint Results'!$L$6=A16,1,0),0),0)+IFERROR(IF('Race Results'!$E$17=A16,25,0)+IF('Race Results'!$G$17=A16,18,0)+IF('Race Results'!$H$17=A16,15,0)+IF('Race Results'!$I$17=A16,12,0)+IF('Race Results'!$J$17=A16,10,0)+IF('Race Results'!$K$17=A16,8,0)+IF('Race Results'!$L$17=A16,6,0)+IF('Race Results'!$M$17=A16,4,0)+IF('Race Results'!$N$17=A16,2,0)+IF('Race Results'!$O$17=A16,1,0)+IF(AND('Race Results'!$Q$17=A16,'Race Results'!$R$17="Yes"),1,0),0),0)</f>
        <v>1</v>
      </c>
      <c r="R39" s="1" t="n">
        <v>1</v>
      </c>
      <c r="S39" s="1" t="n">
        <v>1</v>
      </c>
      <c r="T39" s="1" t="n">
        <v>1</v>
      </c>
      <c r="U39" s="1" t="n">
        <v>1</v>
      </c>
      <c r="V39" s="1" t="n">
        <v>1</v>
      </c>
      <c r="W39" s="1" t="n">
        <v>1</v>
      </c>
      <c r="X39" s="1" t="n">
        <v>1</v>
      </c>
      <c r="Y39" s="1" t="n">
        <v>1</v>
      </c>
    </row>
    <row r="40" customFormat="false" ht="14.25" hidden="false" customHeight="true" outlineLevel="0" collapsed="false">
      <c r="A40" s="1" t="s">
        <v>111</v>
      </c>
      <c r="B40" s="1" t="n">
        <f aca="false">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</f>
        <v>0</v>
      </c>
      <c r="C40" s="1" t="n">
        <f aca="false">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</f>
        <v>0</v>
      </c>
      <c r="D40" s="1" t="n">
        <f aca="false">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</f>
        <v>0</v>
      </c>
      <c r="E40" s="1" t="n">
        <f aca="false">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</f>
        <v>0</v>
      </c>
      <c r="F40" s="1" t="n">
        <f aca="false">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</f>
        <v>0</v>
      </c>
      <c r="G40" s="1" t="n">
        <f aca="false">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</f>
        <v>0</v>
      </c>
      <c r="H40" s="1" t="n">
        <f aca="false">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</f>
        <v>0</v>
      </c>
      <c r="I40" s="1" t="n">
        <f aca="false">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</f>
        <v>0</v>
      </c>
      <c r="J40" s="1" t="n">
        <f aca="false">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</f>
        <v>0</v>
      </c>
      <c r="K40" s="1" t="n">
        <f aca="false">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</f>
        <v>0</v>
      </c>
      <c r="L40" s="1" t="n">
        <f aca="false">IFERROR(IFERROR(IFERROR(IFERROR(IFERROR(IFERROR(IFERROR(IFERROR(IFERROR(IFERROR(IFERROR(IFERROR(IF('Race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Results'!$R$11="Yes"),1,0),0),0)+IFERROR(IF('Race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Results'!$R$12="Yes"),1,0),0),0)</f>
        <v>0</v>
      </c>
      <c r="M40" s="1" t="n">
        <f aca="false">IFERROR(IFERROR(IFERROR(IFERROR(IFERROR(IFERROR(IFERROR(IFERROR(IFERROR(IFERROR(IFERROR(IFERROR(IFERROR(IF('Race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Results'!$R$11="Yes"),1,0),0),0)+IFERROR(IF('Race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Results'!$R$12="Yes"),1,0),0),0)+IFERROR(IF('Race Results'!$E$13=A17,25,0)+IF('Race Results'!$G$13=A17,18,0)+IF('Race Results'!$H$13=A17,15,0)+IF('Race Results'!$I$13=A17,12,0)+IF('Race Results'!$J$13=A17,10,0)+IF('Race Results'!$K$13=A17,8,0)+IF('Race Results'!$L$13=A17,6,0)+IF('Race Results'!$M$13=A17,4,0)+IF('Race Results'!$N$13=A17,2,0)+IF('Race Results'!$O$13=A17,1,0)+IF(AND('Race Results'!$Q$13=A17,'Race Results'!$R$13="Yes"),1,0)+IF('Sprint Results'!$E$5=A17,8,0)+IF('Sprint Results'!$F$5=A17,7,0)+IF('Sprint Results'!$G$5=A17,6,0)+IF('Sprint Results'!$H$5=A17,5,0)+IF('Sprint Results'!$I$5=A17,4,0)+IF('Sprint Results'!$J$5=A17,3,0)+IF('Sprint Results'!$K$5=A17,2,0)+IF('Sprint Results'!$L$5=A17,1,0),0),0)</f>
        <v>0</v>
      </c>
      <c r="N40" s="1" t="n">
        <f aca="false">IFERROR(IFERROR(IFERROR(IFERROR(IFERROR(IFERROR(IFERROR(IFERROR(IFERROR(IFERROR(IFERROR(IFERROR(IFERROR(IFERROR(IF('Race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Results'!$R$11="Yes"),1,0),0),0)+IFERROR(IF('Race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Results'!$R$12="Yes"),1,0),0),0)+IFERROR(IF('Race Results'!$E$13=A17,25,0)+IF('Race Results'!$G$13=A17,18,0)+IF('Race Results'!$H$13=A17,15,0)+IF('Race Results'!$I$13=A17,12,0)+IF('Race Results'!$J$13=A17,10,0)+IF('Race Results'!$K$13=A17,8,0)+IF('Race Results'!$L$13=A17,6,0)+IF('Race Results'!$M$13=A17,4,0)+IF('Race Results'!$N$13=A17,2,0)+IF('Race Results'!$O$13=A17,1,0)+IF(AND('Race Results'!$Q$13=A17,'Race Results'!$R$13="Yes"),1,0)+IF('Sprint Results'!$E$5=A17,8,0)+IF('Sprint Results'!$F$5=A17,7,0)+IF('Sprint Results'!$G$5=A17,6,0)+IF('Sprint Results'!$H$5=A17,5,0)+IF('Sprint Results'!$I$5=A17,4,0)+IF('Sprint Results'!$J$5=A17,3,0)+IF('Sprint Results'!$K$5=A17,2,0)+IF('Sprint Results'!$L$5=A17,1,0),0),0)+IFERROR(IF('Race Results'!$E$14=A17,25,0)+IF('Race Results'!$G$14=A17,18,0)+IF('Race Results'!$H$14=A17,15,0)+IF('Race Results'!$I$14=A17,12,0)+IF('Race Results'!$J$14=A17,10,0)+IF('Race Results'!$K$14=A17,8,0)+IF('Race Results'!$L$14=A17,6,0)+IF('Race Results'!$M$14=A17,4,0)+IF('Race Results'!$N$14=A17,2,0)+IF('Race Results'!$O$14=A17,1,0)+IF(AND('Race Results'!$Q$14=A17,'Race Results'!$R$14="Yes"),1,0),0),0)</f>
        <v>0</v>
      </c>
      <c r="O40" s="1" t="n">
        <f aca="false">IFERROR(IFERROR(IFERROR(IFERROR(IFERROR(IFERROR(IFERROR(IFERROR(IFERROR(IFERROR(IFERROR(IFERROR(IFERROR(IFERROR(IFERROR(IF('Race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Results'!$R$11="Yes"),1,0),0),0)+IFERROR(IF('Race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Results'!$R$12="Yes"),1,0),0),0)+IFERROR(IF('Race Results'!$E$13=A17,25,0)+IF('Race Results'!$G$13=A17,18,0)+IF('Race Results'!$H$13=A17,15,0)+IF('Race Results'!$I$13=A17,12,0)+IF('Race Results'!$J$13=A17,10,0)+IF('Race Results'!$K$13=A17,8,0)+IF('Race Results'!$L$13=A17,6,0)+IF('Race Results'!$M$13=A17,4,0)+IF('Race Results'!$N$13=A17,2,0)+IF('Race Results'!$O$13=A17,1,0)+IF(AND('Race Results'!$Q$13=A17,'Race Results'!$R$13="Yes"),1,0)+IF('Sprint Results'!$E$5=A17,8,0)+IF('Sprint Results'!$F$5=A17,7,0)+IF('Sprint Results'!$G$5=A17,6,0)+IF('Sprint Results'!$H$5=A17,5,0)+IF('Sprint Results'!$I$5=A17,4,0)+IF('Sprint Results'!$J$5=A17,3,0)+IF('Sprint Results'!$K$5=A17,2,0)+IF('Sprint Results'!$L$5=A17,1,0),0),0)+IFERROR(IF('Race Results'!$E$14=A17,25,0)+IF('Race Results'!$G$14=A17,18,0)+IF('Race Results'!$H$14=A17,15,0)+IF('Race Results'!$I$14=A17,12,0)+IF('Race Results'!$J$14=A17,10,0)+IF('Race Results'!$K$14=A17,8,0)+IF('Race Results'!$L$14=A17,6,0)+IF('Race Results'!$M$14=A17,4,0)+IF('Race Results'!$N$14=A17,2,0)+IF('Race Results'!$O$14=A17,1,0)+IF(AND('Race Results'!$Q$14=A17,'Race Results'!$R$14="Yes"),1,0),0),0)+IFERROR(IF('Race Results'!$E$15=A17,25,0)+IF('Race Results'!$G$15=A17,18,0)+IF('Race Results'!$H$15=A17,15,0)+IF('Race Results'!$I$15=A17,12,0)+IF('Race Results'!$J$15=A17,10,0)+IF('Race Results'!$K$15=A17,8,0)+IF('Race Results'!$L$15=A17,6,0)+IF('Race Results'!$M$15=A17,4,0)+IF('Race Results'!$N$15=A17,2,0)+IF('Race Results'!$O$15=A17,1,0)+IF(AND('Race Results'!$Q$15=A17,'Race Results'!$R$15="Yes"),1,0),0),0)</f>
        <v>0</v>
      </c>
      <c r="P40" s="1" t="n">
        <f aca="false">IFERROR(IFERROR(IFERROR(IFERROR(IFERROR(IFERROR(IFERROR(IFERROR(IFERROR(IFERROR(IFERROR(IFERROR(IFERROR(IFERROR(IFERROR(IFERROR(IF('Race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Results'!$R$11="Yes"),1,0),0),0)+IFERROR(IF('Race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Results'!$R$12="Yes"),1,0),0),0)+IFERROR(IF('Race Results'!$E$13=A17,25,0)+IF('Race Results'!$G$13=A17,18,0)+IF('Race Results'!$H$13=A17,15,0)+IF('Race Results'!$I$13=A17,12,0)+IF('Race Results'!$J$13=A17,10,0)+IF('Race Results'!$K$13=A17,8,0)+IF('Race Results'!$L$13=A17,6,0)+IF('Race Results'!$M$13=A17,4,0)+IF('Race Results'!$N$13=A17,2,0)+IF('Race Results'!$O$13=A17,1,0)+IF(AND('Race Results'!$Q$13=A17,'Race Results'!$R$13="Yes"),1,0)+IF('Sprint Results'!$E$5=A17,8,0)+IF('Sprint Results'!$F$5=A17,7,0)+IF('Sprint Results'!$G$5=A17,6,0)+IF('Sprint Results'!$H$5=A17,5,0)+IF('Sprint Results'!$I$5=A17,4,0)+IF('Sprint Results'!$J$5=A17,3,0)+IF('Sprint Results'!$K$5=A17,2,0)+IF('Sprint Results'!$L$5=A17,1,0),0),0)+IFERROR(IF('Race Results'!$E$14=A17,25,0)+IF('Race Results'!$G$14=A17,18,0)+IF('Race Results'!$H$14=A17,15,0)+IF('Race Results'!$I$14=A17,12,0)+IF('Race Results'!$J$14=A17,10,0)+IF('Race Results'!$K$14=A17,8,0)+IF('Race Results'!$L$14=A17,6,0)+IF('Race Results'!$M$14=A17,4,0)+IF('Race Results'!$N$14=A17,2,0)+IF('Race Results'!$O$14=A17,1,0)+IF(AND('Race Results'!$Q$14=A17,'Race Results'!$R$14="Yes"),1,0),0),0)+IFERROR(IF('Race Results'!$E$15=A17,25,0)+IF('Race Results'!$G$15=A17,18,0)+IF('Race Results'!$H$15=A17,15,0)+IF('Race Results'!$I$15=A17,12,0)+IF('Race Results'!$J$15=A17,10,0)+IF('Race Results'!$K$15=A17,8,0)+IF('Race Results'!$L$15=A17,6,0)+IF('Race Results'!$M$15=A17,4,0)+IF('Race Results'!$N$15=A17,2,0)+IF('Race Results'!$O$15=A17,1,0)+IF(AND('Race Results'!$Q$15=A17,'Race Results'!$R$15="Yes"),1,0),0),0)+IFERROR(IF('Race Results'!$E$16=A17,25,0)+IF('Race Results'!$G$16=A17,18,0)+IF('Race Results'!$H$16=A17,15,0)+IF('Race Results'!$I$16=A17,12,0)+IF('Race Results'!$J$16=A17,10,0)+IF('Race Results'!$K$16=A17,8,0)+IF('Race Results'!$L$16=A17,6,0)+IF('Race Results'!$M$16=A17,4,0)+IF('Race Results'!$N$16=A17,2,0)+IF('Race Results'!$O$16=A17,1,0)+IF(AND('Race Results'!$Q$16=A17,'Race Results'!$R$16="Yes"),1,0)+IF('Sprint Results'!$E$6=A17,8,0)+IF('Sprint Results'!$F$6=A17,7,0)+IF('Sprint Results'!$G$6=A17,6,0)+IF('Sprint Results'!$H$6=A17,5,0)+IF('Sprint Results'!$I$6=A17,4,0)+IF('Sprint Results'!$J$6=A17,3,0)+IF('Sprint Results'!$K$6=A17,2,0)+IF('Sprint Results'!$L$6=A17,1,0),0),0)</f>
        <v>0</v>
      </c>
      <c r="Q40" s="1" t="n">
        <f aca="false">IFERROR(IFERROR(IFERROR(IFERROR(IFERROR(IFERROR(IFERROR(IFERROR(IFERROR(IFERROR(IFERROR(IFERROR(IFERROR(IFERROR(IFERROR(IFERROR(IFERROR(IF('Race Results'!$E$2=A17,25,0)+IF('Race Results'!$G$2=A17,18,0)+IF('Race Results'!$H$2=A17,15,0)+IF('Race Results'!$I$2=A17,12,0)+IF('Race Results'!$J$2=A17,10,0)+IF('Race Results'!$K$2=A17,8,0)+IF('Race Results'!$L$2=A17,6,0)+IF('Race Results'!$M$2=A17,4,0)+IF('Race Results'!$N$2=A17,2,0)+IF('Race Results'!$O$2=A17,1,0)+IF(AND('Race Results'!$Q$2=A17,'Race Results'!$R$2="Yes"),1,0),0),0)+IFERROR(IF('Race Results'!$E$3=A17,25,0)+IF('Race Results'!$G$3=A17,18,0)+IF('Race Results'!$H$3=A17,15,0)+IF('Race Results'!$I$3=A17,12,0)+IF('Race Results'!$J$3=A17,10,0)+IF('Race Results'!$K$3=A17,8,0)+IF('Race Results'!$L$3=A17,6,0)+IF('Race Results'!$M$3=A17,4,0)+IF('Race Results'!$N$3=A17,2,0)+IF('Race Results'!$O$3=A17,1,0)+IF(AND('Race Results'!$Q$3=A17,'Race Results'!$R$3="Yes"),1,0)+IF('Sprint Results'!$E$2=A17,8,0)+IF('Sprint Results'!$F$2=A17,7,0)+IF('Sprint Results'!$G$2=A17,6,0)+IF('Sprint Results'!$H$2=A17,5,0)+IF('Sprint Results'!$I$2=A17,4,0)+IF('Sprint Results'!$J$2=A17,3,0)+IF('Sprint Results'!$K$2=A17,2,0)+IF('Sprint Results'!$L$2=A17,1,0),0),0)+IFERROR(IF('Race Results'!$E$4=A17,25,0)+IF('Race Results'!$G$4=A17,18,0)+IF('Race Results'!$H$4=A17,15,0)+IF('Race Results'!$I$4=A17,12,0)+IF('Race Results'!$J$4=A17,10,0)+IF('Race Results'!$K$4=A17,8,0)+IF('Race Results'!$L$4=A17,6,0)+IF('Race Results'!$M$4=A17,4,0)+IF('Race Results'!$N$4=A17,2,0)+IF('Race Results'!$O$4=A17,1,0)+IF(AND('Race Results'!$Q$4=A17,'Race Results'!$R$4="Yes"),1,0),0),0)+IFERROR(IF('Race Results'!$E$5=A17,25,0)+IF('Race Results'!$G$5=A17,18,0)+IF('Race Results'!$H$5=A17,15,0)+IF('Race Results'!$I$5=A17,12,0)+IF('Race Results'!$J$5=A17,10,0)+IF('Race Results'!$K$5=A17,8,0)+IF('Race Results'!$L$5=A17,6,0)+IF('Race Results'!$M$5=A17,4,0)+IF('Race Results'!$N$5=A17,2,0)+IF('Race Results'!$O$5=A17,1,0)+IF(AND('Race Results'!$Q$5=A17,'Race Results'!$R$5="Yes"),1,0),0),0)+IFERROR(IF('Race Results'!$E$6=A17,25,0)+IF('Race Results'!$G$6=A17,18,0)+IF('Race Results'!$H$6=A17,15,0)+IF('Race Results'!$I$6=A17,12,0)+IF('Race Results'!$J$6=A17,10,0)+IF('Race Results'!$K$6=A17,8,0)+IF('Race Results'!$L$6=A17,6,0)+IF('Race Results'!$M$6=A17,4,0)+IF('Race Results'!$N$6=A17,2,0)+IF('Race Results'!$O$6=A17,1,0)+IF(AND('Race Results'!$Q$6=A17,'Race Results'!$R$6="Yes"),1,0),0),0)+IFERROR(IF('Race Results'!$E$7=A17,25,0)+IF('Race Results'!$G$7=A17,18,0)+IF('Race Results'!$H$7=A17,15,0)+IF('Race Results'!$I$7=A17,12,0)+IF('Race Results'!$J$7=A17,10,0)+IF('Race Results'!$K$7=A17,8,0)+IF('Race Results'!$L$7=A17,6,0)+IF('Race Results'!$M$7=A17,4,0)+IF('Race Results'!$N$7=A17,2,0)+IF('Race Results'!$O$7=A17,1,0)+IF(AND('Race Results'!$Q$7=A17,'Race Results'!$R$7="Yes"),1,0)+IF('Sprint Results'!$E$3=A17,8,0)+IF('Sprint Results'!$F$3=A17,7,0)+IF('Sprint Results'!$G$3=A17,6,0)+IF('Sprint Results'!$H$3=A17,5,0)+IF('Sprint Results'!$I$3=A17,4,0)+IF('Sprint Results'!$J$3=A17,3,0)+IF('Sprint Results'!$K$3=A17,2,0)+IF('Sprint Results'!$L$3=A17,1,0),0),0)+IFERROR(IF('Race Results'!$E$8=A17,25,0)+IF('Race Results'!$G$8=A17,18,0)+IF('Race Results'!$H$8=A17,15,0)+IF('Race Results'!$I$8=A17,12,0)+IF('Race Results'!$J$8=A17,10,0)+IF('Race Results'!$K$8=A17,8,0)+IF('Race Results'!$L$8=A17,6,0)+IF('Race Results'!$M$8=A17,4,0)+IF('Race Results'!$N$8=A17,2,0)+IF('Race Results'!$O$8=A17,1,0)+IF(AND('Race Results'!$Q$8=A17,'Race Results'!$R$8="Yes"),1,0)+IF('Sprint Results'!$E$4=A17,8,0)+IF('Sprint Results'!$F$4=A17,7,0)+IF('Sprint Results'!$G$4=A17,6,0)+IF('Sprint Results'!$H$4=A17,5,0)+IF('Sprint Results'!$I$4=A17,4,0)+IF('Sprint Results'!$J$4=A17,3,0)+IF('Sprint Results'!$K$4=A17,2,0)+IF('Sprint Results'!$L$4=A17,1,0),0),0)+IFERROR(IF('Race Results'!$E$9=A17,25,0)+IF('Race Results'!$G$9=A17,18,0)+IF('Race Results'!$H$9=A17,15,0)+IF('Race Results'!$I$9=A17,12,0)+IF('Race Results'!$J$9=A17,10,0)+IF('Race Results'!$K$9=A17,8,0)+IF('Race Results'!$L$9=A17,6,0)+IF('Race Results'!$M$9=A17,4,0)+IF('Race Results'!$N$9=A17,2,0)+IF('Race Results'!$O$9=A17,1,0)+IF(AND('Race Results'!$Q$9=A17,'Race Results'!$R$9="Yes"),1,0),0),0)+IFERROR(IF('Race Results'!$E$10=A17,25,0)+IF('Race Results'!$G$10=A17,18,0)+IF('Race Results'!$H$10=A17,15,0)+IF('Race Results'!$I$10=A17,12,0)+IF('Race Results'!$J$10=A17,10,0)+IF('Race Results'!$K$10=A17,8,0)+IF('Race Results'!$L$10=A17,6,0)+IF('Race Results'!$M$10=A17,4,0)+IF('Race Results'!$N$10=A17,2,0)+IF('Race Results'!$O$10=A17,1,0)+IF(AND('Race Results'!$Q$10=A17,'Race Results'!$R$10="Yes"),1,0),0),0)+IFERROR(IF('Race Results'!$E$11=A17,25,0)+IF('Race Results'!$G$11=A17,18,0)+IF('Race Results'!$H$11=A17,15,0)+IF('Race Results'!$I$11=A17,12,0)+IF('Race Results'!$J$11=A17,10,0)+IF('Race Results'!$K$11=A17,8,0)+IF('Race Results'!$L$11=A17,6,0)+IF('Race Results'!$M$11=A17,4,0)+IF('Race Results'!$N$11=A17,2,0)+IF('Race Results'!$O$11=A17,1,0)+IF(AND('Race Results'!$Q$11=A17,'Race Results'!$R$11="Yes"),1,0),0),0)+IFERROR(IF('Race Results'!$E$12=A17,25,0)+IF('Race Results'!$G$12=A17,18,0)+IF('Race Results'!$H$12=A17,15,0)+IF('Race Results'!$I$12=A17,12,0)+IF('Race Results'!$J$12=A17,10,0)+IF('Race Results'!$K$12=A17,8,0)+IF('Race Results'!$L$12=A17,6,0)+IF('Race Results'!$M$12=A17,4,0)+IF('Race Results'!$N$12=A17,2,0)+IF('Race Results'!$O$12=A17,1,0)+IF(AND('Race Results'!$Q$12=A17,'Race Results'!$R$12="Yes"),1,0),0),0)+IFERROR(IF('Race Results'!$E$13=A17,25,0)+IF('Race Results'!$G$13=A17,18,0)+IF('Race Results'!$H$13=A17,15,0)+IF('Race Results'!$I$13=A17,12,0)+IF('Race Results'!$J$13=A17,10,0)+IF('Race Results'!$K$13=A17,8,0)+IF('Race Results'!$L$13=A17,6,0)+IF('Race Results'!$M$13=A17,4,0)+IF('Race Results'!$N$13=A17,2,0)+IF('Race Results'!$O$13=A17,1,0)+IF(AND('Race Results'!$Q$13=A17,'Race Results'!$R$13="Yes"),1,0)+IF('Sprint Results'!$E$5=A17,8,0)+IF('Sprint Results'!$F$5=A17,7,0)+IF('Sprint Results'!$G$5=A17,6,0)+IF('Sprint Results'!$H$5=A17,5,0)+IF('Sprint Results'!$I$5=A17,4,0)+IF('Sprint Results'!$J$5=A17,3,0)+IF('Sprint Results'!$K$5=A17,2,0)+IF('Sprint Results'!$L$5=A17,1,0),0),0)+IFERROR(IF('Race Results'!$E$14=A17,25,0)+IF('Race Results'!$G$14=A17,18,0)+IF('Race Results'!$H$14=A17,15,0)+IF('Race Results'!$I$14=A17,12,0)+IF('Race Results'!$J$14=A17,10,0)+IF('Race Results'!$K$14=A17,8,0)+IF('Race Results'!$L$14=A17,6,0)+IF('Race Results'!$M$14=A17,4,0)+IF('Race Results'!$N$14=A17,2,0)+IF('Race Results'!$O$14=A17,1,0)+IF(AND('Race Results'!$Q$14=A17,'Race Results'!$R$14="Yes"),1,0),0),0)+IFERROR(IF('Race Results'!$E$15=A17,25,0)+IF('Race Results'!$G$15=A17,18,0)+IF('Race Results'!$H$15=A17,15,0)+IF('Race Results'!$I$15=A17,12,0)+IF('Race Results'!$J$15=A17,10,0)+IF('Race Results'!$K$15=A17,8,0)+IF('Race Results'!$L$15=A17,6,0)+IF('Race Results'!$M$15=A17,4,0)+IF('Race Results'!$N$15=A17,2,0)+IF('Race Results'!$O$15=A17,1,0)+IF(AND('Race Results'!$Q$15=A17,'Race Results'!$R$15="Yes"),1,0),0),0)+IFERROR(IF('Race Results'!$E$16=A17,25,0)+IF('Race Results'!$G$16=A17,18,0)+IF('Race Results'!$H$16=A17,15,0)+IF('Race Results'!$I$16=A17,12,0)+IF('Race Results'!$J$16=A17,10,0)+IF('Race Results'!$K$16=A17,8,0)+IF('Race Results'!$L$16=A17,6,0)+IF('Race Results'!$M$16=A17,4,0)+IF('Race Results'!$N$16=A17,2,0)+IF('Race Results'!$O$16=A17,1,0)+IF(AND('Race Results'!$Q$16=A17,'Race Results'!$R$16="Yes"),1,0)+IF('Sprint Results'!$E$6=A17,8,0)+IF('Sprint Results'!$F$6=A17,7,0)+IF('Sprint Results'!$G$6=A17,6,0)+IF('Sprint Results'!$H$6=A17,5,0)+IF('Sprint Results'!$I$6=A17,4,0)+IF('Sprint Results'!$J$6=A17,3,0)+IF('Sprint Results'!$K$6=A17,2,0)+IF('Sprint Results'!$L$6=A17,1,0),0),0)+IFERROR(IF('Race Results'!$E$17=A17,25,0)+IF('Race Results'!$G$17=A17,18,0)+IF('Race Results'!$H$17=A17,15,0)+IF('Race Results'!$I$17=A17,12,0)+IF('Race Results'!$J$17=A17,10,0)+IF('Race Results'!$K$17=A17,8,0)+IF('Race Results'!$L$17=A17,6,0)+IF('Race Results'!$M$17=A17,4,0)+IF('Race Results'!$N$17=A17,2,0)+IF('Race Results'!$O$17=A17,1,0)+IF(AND('Race Results'!$Q$17=A17,'Race Results'!$R$17="Yes"),1,0),0),0)</f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</row>
    <row r="41" customFormat="false" ht="14.25" hidden="false" customHeight="true" outlineLevel="0" collapsed="false">
      <c r="A41" s="1" t="s">
        <v>113</v>
      </c>
      <c r="B41" s="1" t="n">
        <f aca="false">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</f>
        <v>0</v>
      </c>
      <c r="C41" s="1" t="n">
        <f aca="false">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</f>
        <v>0</v>
      </c>
      <c r="D41" s="1" t="n">
        <f aca="false">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</f>
        <v>0</v>
      </c>
      <c r="E41" s="1" t="n">
        <f aca="false">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</f>
        <v>0</v>
      </c>
      <c r="F41" s="1" t="n">
        <f aca="false">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</f>
        <v>0</v>
      </c>
      <c r="G41" s="1" t="n">
        <f aca="false">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</f>
        <v>0</v>
      </c>
      <c r="H41" s="1" t="n">
        <f aca="false">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</f>
        <v>0</v>
      </c>
      <c r="I41" s="1" t="n">
        <f aca="false">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</f>
        <v>0</v>
      </c>
      <c r="J41" s="1" t="n">
        <f aca="false">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</f>
        <v>0</v>
      </c>
      <c r="K41" s="1" t="n">
        <f aca="false">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</f>
        <v>0</v>
      </c>
      <c r="L41" s="1" t="n">
        <f aca="false">IFERROR(IFERROR(IFERROR(IFERROR(IFERROR(IFERROR(IFERROR(IFERROR(IFERROR(IFERROR(IFERROR(IFERROR(IF('Race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Results'!$R$11="Yes"),1,0),0),0)+IFERROR(IF('Race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Results'!$R$12="Yes"),1,0),0),0)</f>
        <v>0</v>
      </c>
      <c r="M41" s="1" t="n">
        <f aca="false">IFERROR(IFERROR(IFERROR(IFERROR(IFERROR(IFERROR(IFERROR(IFERROR(IFERROR(IFERROR(IFERROR(IFERROR(IFERROR(IF('Race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Results'!$R$11="Yes"),1,0),0),0)+IFERROR(IF('Race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Results'!$R$12="Yes"),1,0),0),0)+IFERROR(IF('Race Results'!$E$13=A18,25,0)+IF('Race Results'!$G$13=A18,18,0)+IF('Race Results'!$H$13=A18,15,0)+IF('Race Results'!$I$13=A18,12,0)+IF('Race Results'!$J$13=A18,10,0)+IF('Race Results'!$K$13=A18,8,0)+IF('Race Results'!$L$13=A18,6,0)+IF('Race Results'!$M$13=A18,4,0)+IF('Race Results'!$N$13=A18,2,0)+IF('Race Results'!$O$13=A18,1,0)+IF(AND('Race Results'!$Q$13=A18,'Race Results'!$R$13="Yes"),1,0)+IF('Sprint Results'!$E$5=A18,8,0)+IF('Sprint Results'!$F$5=A18,7,0)+IF('Sprint Results'!$G$5=A18,6,0)+IF('Sprint Results'!$H$5=A18,5,0)+IF('Sprint Results'!$I$5=A18,4,0)+IF('Sprint Results'!$J$5=A18,3,0)+IF('Sprint Results'!$K$5=A18,2,0)+IF('Sprint Results'!$L$5=A18,1,0),0),0)</f>
        <v>0</v>
      </c>
      <c r="N41" s="1" t="n">
        <f aca="false">IFERROR(IFERROR(IFERROR(IFERROR(IFERROR(IFERROR(IFERROR(IFERROR(IFERROR(IFERROR(IFERROR(IFERROR(IFERROR(IFERROR(IF('Race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Results'!$R$11="Yes"),1,0),0),0)+IFERROR(IF('Race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Results'!$R$12="Yes"),1,0),0),0)+IFERROR(IF('Race Results'!$E$13=A18,25,0)+IF('Race Results'!$G$13=A18,18,0)+IF('Race Results'!$H$13=A18,15,0)+IF('Race Results'!$I$13=A18,12,0)+IF('Race Results'!$J$13=A18,10,0)+IF('Race Results'!$K$13=A18,8,0)+IF('Race Results'!$L$13=A18,6,0)+IF('Race Results'!$M$13=A18,4,0)+IF('Race Results'!$N$13=A18,2,0)+IF('Race Results'!$O$13=A18,1,0)+IF(AND('Race Results'!$Q$13=A18,'Race Results'!$R$13="Yes"),1,0)+IF('Sprint Results'!$E$5=A18,8,0)+IF('Sprint Results'!$F$5=A18,7,0)+IF('Sprint Results'!$G$5=A18,6,0)+IF('Sprint Results'!$H$5=A18,5,0)+IF('Sprint Results'!$I$5=A18,4,0)+IF('Sprint Results'!$J$5=A18,3,0)+IF('Sprint Results'!$K$5=A18,2,0)+IF('Sprint Results'!$L$5=A18,1,0),0),0)+IFERROR(IF('Race Results'!$E$14=A18,25,0)+IF('Race Results'!$G$14=A18,18,0)+IF('Race Results'!$H$14=A18,15,0)+IF('Race Results'!$I$14=A18,12,0)+IF('Race Results'!$J$14=A18,10,0)+IF('Race Results'!$K$14=A18,8,0)+IF('Race Results'!$L$14=A18,6,0)+IF('Race Results'!$M$14=A18,4,0)+IF('Race Results'!$N$14=A18,2,0)+IF('Race Results'!$O$14=A18,1,0)+IF(AND('Race Results'!$Q$14=A18,'Race Results'!$R$14="Yes"),1,0),0),0)</f>
        <v>0</v>
      </c>
      <c r="O41" s="1" t="n">
        <f aca="false">IFERROR(IFERROR(IFERROR(IFERROR(IFERROR(IFERROR(IFERROR(IFERROR(IFERROR(IFERROR(IFERROR(IFERROR(IFERROR(IFERROR(IFERROR(IF('Race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Results'!$R$11="Yes"),1,0),0),0)+IFERROR(IF('Race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Results'!$R$12="Yes"),1,0),0),0)+IFERROR(IF('Race Results'!$E$13=A18,25,0)+IF('Race Results'!$G$13=A18,18,0)+IF('Race Results'!$H$13=A18,15,0)+IF('Race Results'!$I$13=A18,12,0)+IF('Race Results'!$J$13=A18,10,0)+IF('Race Results'!$K$13=A18,8,0)+IF('Race Results'!$L$13=A18,6,0)+IF('Race Results'!$M$13=A18,4,0)+IF('Race Results'!$N$13=A18,2,0)+IF('Race Results'!$O$13=A18,1,0)+IF(AND('Race Results'!$Q$13=A18,'Race Results'!$R$13="Yes"),1,0)+IF('Sprint Results'!$E$5=A18,8,0)+IF('Sprint Results'!$F$5=A18,7,0)+IF('Sprint Results'!$G$5=A18,6,0)+IF('Sprint Results'!$H$5=A18,5,0)+IF('Sprint Results'!$I$5=A18,4,0)+IF('Sprint Results'!$J$5=A18,3,0)+IF('Sprint Results'!$K$5=A18,2,0)+IF('Sprint Results'!$L$5=A18,1,0),0),0)+IFERROR(IF('Race Results'!$E$14=A18,25,0)+IF('Race Results'!$G$14=A18,18,0)+IF('Race Results'!$H$14=A18,15,0)+IF('Race Results'!$I$14=A18,12,0)+IF('Race Results'!$J$14=A18,10,0)+IF('Race Results'!$K$14=A18,8,0)+IF('Race Results'!$L$14=A18,6,0)+IF('Race Results'!$M$14=A18,4,0)+IF('Race Results'!$N$14=A18,2,0)+IF('Race Results'!$O$14=A18,1,0)+IF(AND('Race Results'!$Q$14=A18,'Race Results'!$R$14="Yes"),1,0),0),0)+IFERROR(IF('Race Results'!$E$15=A18,25,0)+IF('Race Results'!$G$15=A18,18,0)+IF('Race Results'!$H$15=A18,15,0)+IF('Race Results'!$I$15=A18,12,0)+IF('Race Results'!$J$15=A18,10,0)+IF('Race Results'!$K$15=A18,8,0)+IF('Race Results'!$L$15=A18,6,0)+IF('Race Results'!$M$15=A18,4,0)+IF('Race Results'!$N$15=A18,2,0)+IF('Race Results'!$O$15=A18,1,0)+IF(AND('Race Results'!$Q$15=A18,'Race Results'!$R$15="Yes"),1,0),0),0)</f>
        <v>0</v>
      </c>
      <c r="P41" s="1" t="n">
        <f aca="false">IFERROR(IFERROR(IFERROR(IFERROR(IFERROR(IFERROR(IFERROR(IFERROR(IFERROR(IFERROR(IFERROR(IFERROR(IFERROR(IFERROR(IFERROR(IFERROR(IF('Race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Results'!$R$11="Yes"),1,0),0),0)+IFERROR(IF('Race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Results'!$R$12="Yes"),1,0),0),0)+IFERROR(IF('Race Results'!$E$13=A18,25,0)+IF('Race Results'!$G$13=A18,18,0)+IF('Race Results'!$H$13=A18,15,0)+IF('Race Results'!$I$13=A18,12,0)+IF('Race Results'!$J$13=A18,10,0)+IF('Race Results'!$K$13=A18,8,0)+IF('Race Results'!$L$13=A18,6,0)+IF('Race Results'!$M$13=A18,4,0)+IF('Race Results'!$N$13=A18,2,0)+IF('Race Results'!$O$13=A18,1,0)+IF(AND('Race Results'!$Q$13=A18,'Race Results'!$R$13="Yes"),1,0)+IF('Sprint Results'!$E$5=A18,8,0)+IF('Sprint Results'!$F$5=A18,7,0)+IF('Sprint Results'!$G$5=A18,6,0)+IF('Sprint Results'!$H$5=A18,5,0)+IF('Sprint Results'!$I$5=A18,4,0)+IF('Sprint Results'!$J$5=A18,3,0)+IF('Sprint Results'!$K$5=A18,2,0)+IF('Sprint Results'!$L$5=A18,1,0),0),0)+IFERROR(IF('Race Results'!$E$14=A18,25,0)+IF('Race Results'!$G$14=A18,18,0)+IF('Race Results'!$H$14=A18,15,0)+IF('Race Results'!$I$14=A18,12,0)+IF('Race Results'!$J$14=A18,10,0)+IF('Race Results'!$K$14=A18,8,0)+IF('Race Results'!$L$14=A18,6,0)+IF('Race Results'!$M$14=A18,4,0)+IF('Race Results'!$N$14=A18,2,0)+IF('Race Results'!$O$14=A18,1,0)+IF(AND('Race Results'!$Q$14=A18,'Race Results'!$R$14="Yes"),1,0),0),0)+IFERROR(IF('Race Results'!$E$15=A18,25,0)+IF('Race Results'!$G$15=A18,18,0)+IF('Race Results'!$H$15=A18,15,0)+IF('Race Results'!$I$15=A18,12,0)+IF('Race Results'!$J$15=A18,10,0)+IF('Race Results'!$K$15=A18,8,0)+IF('Race Results'!$L$15=A18,6,0)+IF('Race Results'!$M$15=A18,4,0)+IF('Race Results'!$N$15=A18,2,0)+IF('Race Results'!$O$15=A18,1,0)+IF(AND('Race Results'!$Q$15=A18,'Race Results'!$R$15="Yes"),1,0),0),0)+IFERROR(IF('Race Results'!$E$16=A18,25,0)+IF('Race Results'!$G$16=A18,18,0)+IF('Race Results'!$H$16=A18,15,0)+IF('Race Results'!$I$16=A18,12,0)+IF('Race Results'!$J$16=A18,10,0)+IF('Race Results'!$K$16=A18,8,0)+IF('Race Results'!$L$16=A18,6,0)+IF('Race Results'!$M$16=A18,4,0)+IF('Race Results'!$N$16=A18,2,0)+IF('Race Results'!$O$16=A18,1,0)+IF(AND('Race Results'!$Q$16=A18,'Race Results'!$R$16="Yes"),1,0)+IF('Sprint Results'!$E$6=A18,8,0)+IF('Sprint Results'!$F$6=A18,7,0)+IF('Sprint Results'!$G$6=A18,6,0)+IF('Sprint Results'!$H$6=A18,5,0)+IF('Sprint Results'!$I$6=A18,4,0)+IF('Sprint Results'!$J$6=A18,3,0)+IF('Sprint Results'!$K$6=A18,2,0)+IF('Sprint Results'!$L$6=A18,1,0),0),0)</f>
        <v>0</v>
      </c>
      <c r="Q41" s="1" t="n">
        <f aca="false">IFERROR(IFERROR(IFERROR(IFERROR(IFERROR(IFERROR(IFERROR(IFERROR(IFERROR(IFERROR(IFERROR(IFERROR(IFERROR(IFERROR(IFERROR(IFERROR(IFERROR(IF('Race Results'!$E$2=A18,25,0)+IF('Race Results'!$G$2=A18,18,0)+IF('Race Results'!$H$2=A18,15,0)+IF('Race Results'!$I$2=A18,12,0)+IF('Race Results'!$J$2=A18,10,0)+IF('Race Results'!$K$2=A18,8,0)+IF('Race Results'!$L$2=A18,6,0)+IF('Race Results'!$M$2=A18,4,0)+IF('Race Results'!$N$2=A18,2,0)+IF('Race Results'!$O$2=A18,1,0)+IF(AND('Race Results'!$Q$2=A18,'Race Results'!$R$2="Yes"),1,0),0),0)+IFERROR(IF('Race Results'!$E$3=A18,25,0)+IF('Race Results'!$G$3=A18,18,0)+IF('Race Results'!$H$3=A18,15,0)+IF('Race Results'!$I$3=A18,12,0)+IF('Race Results'!$J$3=A18,10,0)+IF('Race Results'!$K$3=A18,8,0)+IF('Race Results'!$L$3=A18,6,0)+IF('Race Results'!$M$3=A18,4,0)+IF('Race Results'!$N$3=A18,2,0)+IF('Race Results'!$O$3=A18,1,0)+IF(AND('Race Results'!$Q$3=A18,'Race Results'!$R$3="Yes"),1,0)+IF('Sprint Results'!$E$2=A18,8,0)+IF('Sprint Results'!$F$2=A18,7,0)+IF('Sprint Results'!$G$2=A18,6,0)+IF('Sprint Results'!$H$2=A18,5,0)+IF('Sprint Results'!$I$2=A18,4,0)+IF('Sprint Results'!$J$2=A18,3,0)+IF('Sprint Results'!$K$2=A18,2,0)+IF('Sprint Results'!$L$2=A18,1,0),0),0)+IFERROR(IF('Race Results'!$E$4=A18,25,0)+IF('Race Results'!$G$4=A18,18,0)+IF('Race Results'!$H$4=A18,15,0)+IF('Race Results'!$I$4=A18,12,0)+IF('Race Results'!$J$4=A18,10,0)+IF('Race Results'!$K$4=A18,8,0)+IF('Race Results'!$L$4=A18,6,0)+IF('Race Results'!$M$4=A18,4,0)+IF('Race Results'!$N$4=A18,2,0)+IF('Race Results'!$O$4=A18,1,0)+IF(AND('Race Results'!$Q$4=A18,'Race Results'!$R$4="Yes"),1,0),0),0)+IFERROR(IF('Race Results'!$E$5=A18,25,0)+IF('Race Results'!$G$5=A18,18,0)+IF('Race Results'!$H$5=A18,15,0)+IF('Race Results'!$I$5=A18,12,0)+IF('Race Results'!$J$5=A18,10,0)+IF('Race Results'!$K$5=A18,8,0)+IF('Race Results'!$L$5=A18,6,0)+IF('Race Results'!$M$5=A18,4,0)+IF('Race Results'!$N$5=A18,2,0)+IF('Race Results'!$O$5=A18,1,0)+IF(AND('Race Results'!$Q$5=A18,'Race Results'!$R$5="Yes"),1,0),0),0)+IFERROR(IF('Race Results'!$E$6=A18,25,0)+IF('Race Results'!$G$6=A18,18,0)+IF('Race Results'!$H$6=A18,15,0)+IF('Race Results'!$I$6=A18,12,0)+IF('Race Results'!$J$6=A18,10,0)+IF('Race Results'!$K$6=A18,8,0)+IF('Race Results'!$L$6=A18,6,0)+IF('Race Results'!$M$6=A18,4,0)+IF('Race Results'!$N$6=A18,2,0)+IF('Race Results'!$O$6=A18,1,0)+IF(AND('Race Results'!$Q$6=A18,'Race Results'!$R$6="Yes"),1,0),0),0)+IFERROR(IF('Race Results'!$E$7=A18,25,0)+IF('Race Results'!$G$7=A18,18,0)+IF('Race Results'!$H$7=A18,15,0)+IF('Race Results'!$I$7=A18,12,0)+IF('Race Results'!$J$7=A18,10,0)+IF('Race Results'!$K$7=A18,8,0)+IF('Race Results'!$L$7=A18,6,0)+IF('Race Results'!$M$7=A18,4,0)+IF('Race Results'!$N$7=A18,2,0)+IF('Race Results'!$O$7=A18,1,0)+IF(AND('Race Results'!$Q$7=A18,'Race Results'!$R$7="Yes"),1,0)+IF('Sprint Results'!$E$3=A18,8,0)+IF('Sprint Results'!$F$3=A18,7,0)+IF('Sprint Results'!$G$3=A18,6,0)+IF('Sprint Results'!$H$3=A18,5,0)+IF('Sprint Results'!$I$3=A18,4,0)+IF('Sprint Results'!$J$3=A18,3,0)+IF('Sprint Results'!$K$3=A18,2,0)+IF('Sprint Results'!$L$3=A18,1,0),0),0)+IFERROR(IF('Race Results'!$E$8=A18,25,0)+IF('Race Results'!$G$8=A18,18,0)+IF('Race Results'!$H$8=A18,15,0)+IF('Race Results'!$I$8=A18,12,0)+IF('Race Results'!$J$8=A18,10,0)+IF('Race Results'!$K$8=A18,8,0)+IF('Race Results'!$L$8=A18,6,0)+IF('Race Results'!$M$8=A18,4,0)+IF('Race Results'!$N$8=A18,2,0)+IF('Race Results'!$O$8=A18,1,0)+IF(AND('Race Results'!$Q$8=A18,'Race Results'!$R$8="Yes"),1,0)+IF('Sprint Results'!$E$4=A18,8,0)+IF('Sprint Results'!$F$4=A18,7,0)+IF('Sprint Results'!$G$4=A18,6,0)+IF('Sprint Results'!$H$4=A18,5,0)+IF('Sprint Results'!$I$4=A18,4,0)+IF('Sprint Results'!$J$4=A18,3,0)+IF('Sprint Results'!$K$4=A18,2,0)+IF('Sprint Results'!$L$4=A18,1,0),0),0)+IFERROR(IF('Race Results'!$E$9=A18,25,0)+IF('Race Results'!$G$9=A18,18,0)+IF('Race Results'!$H$9=A18,15,0)+IF('Race Results'!$I$9=A18,12,0)+IF('Race Results'!$J$9=A18,10,0)+IF('Race Results'!$K$9=A18,8,0)+IF('Race Results'!$L$9=A18,6,0)+IF('Race Results'!$M$9=A18,4,0)+IF('Race Results'!$N$9=A18,2,0)+IF('Race Results'!$O$9=A18,1,0)+IF(AND('Race Results'!$Q$9=A18,'Race Results'!$R$9="Yes"),1,0),0),0)+IFERROR(IF('Race Results'!$E$10=A18,25,0)+IF('Race Results'!$G$10=A18,18,0)+IF('Race Results'!$H$10=A18,15,0)+IF('Race Results'!$I$10=A18,12,0)+IF('Race Results'!$J$10=A18,10,0)+IF('Race Results'!$K$10=A18,8,0)+IF('Race Results'!$L$10=A18,6,0)+IF('Race Results'!$M$10=A18,4,0)+IF('Race Results'!$N$10=A18,2,0)+IF('Race Results'!$O$10=A18,1,0)+IF(AND('Race Results'!$Q$10=A18,'Race Results'!$R$10="Yes"),1,0),0),0)+IFERROR(IF('Race Results'!$E$11=A18,25,0)+IF('Race Results'!$G$11=A18,18,0)+IF('Race Results'!$H$11=A18,15,0)+IF('Race Results'!$I$11=A18,12,0)+IF('Race Results'!$J$11=A18,10,0)+IF('Race Results'!$K$11=A18,8,0)+IF('Race Results'!$L$11=A18,6,0)+IF('Race Results'!$M$11=A18,4,0)+IF('Race Results'!$N$11=A18,2,0)+IF('Race Results'!$O$11=A18,1,0)+IF(AND('Race Results'!$Q$11=A18,'Race Results'!$R$11="Yes"),1,0),0),0)+IFERROR(IF('Race Results'!$E$12=A18,25,0)+IF('Race Results'!$G$12=A18,18,0)+IF('Race Results'!$H$12=A18,15,0)+IF('Race Results'!$I$12=A18,12,0)+IF('Race Results'!$J$12=A18,10,0)+IF('Race Results'!$K$12=A18,8,0)+IF('Race Results'!$L$12=A18,6,0)+IF('Race Results'!$M$12=A18,4,0)+IF('Race Results'!$N$12=A18,2,0)+IF('Race Results'!$O$12=A18,1,0)+IF(AND('Race Results'!$Q$12=A18,'Race Results'!$R$12="Yes"),1,0),0),0)+IFERROR(IF('Race Results'!$E$13=A18,25,0)+IF('Race Results'!$G$13=A18,18,0)+IF('Race Results'!$H$13=A18,15,0)+IF('Race Results'!$I$13=A18,12,0)+IF('Race Results'!$J$13=A18,10,0)+IF('Race Results'!$K$13=A18,8,0)+IF('Race Results'!$L$13=A18,6,0)+IF('Race Results'!$M$13=A18,4,0)+IF('Race Results'!$N$13=A18,2,0)+IF('Race Results'!$O$13=A18,1,0)+IF(AND('Race Results'!$Q$13=A18,'Race Results'!$R$13="Yes"),1,0)+IF('Sprint Results'!$E$5=A18,8,0)+IF('Sprint Results'!$F$5=A18,7,0)+IF('Sprint Results'!$G$5=A18,6,0)+IF('Sprint Results'!$H$5=A18,5,0)+IF('Sprint Results'!$I$5=A18,4,0)+IF('Sprint Results'!$J$5=A18,3,0)+IF('Sprint Results'!$K$5=A18,2,0)+IF('Sprint Results'!$L$5=A18,1,0),0),0)+IFERROR(IF('Race Results'!$E$14=A18,25,0)+IF('Race Results'!$G$14=A18,18,0)+IF('Race Results'!$H$14=A18,15,0)+IF('Race Results'!$I$14=A18,12,0)+IF('Race Results'!$J$14=A18,10,0)+IF('Race Results'!$K$14=A18,8,0)+IF('Race Results'!$L$14=A18,6,0)+IF('Race Results'!$M$14=A18,4,0)+IF('Race Results'!$N$14=A18,2,0)+IF('Race Results'!$O$14=A18,1,0)+IF(AND('Race Results'!$Q$14=A18,'Race Results'!$R$14="Yes"),1,0),0),0)+IFERROR(IF('Race Results'!$E$15=A18,25,0)+IF('Race Results'!$G$15=A18,18,0)+IF('Race Results'!$H$15=A18,15,0)+IF('Race Results'!$I$15=A18,12,0)+IF('Race Results'!$J$15=A18,10,0)+IF('Race Results'!$K$15=A18,8,0)+IF('Race Results'!$L$15=A18,6,0)+IF('Race Results'!$M$15=A18,4,0)+IF('Race Results'!$N$15=A18,2,0)+IF('Race Results'!$O$15=A18,1,0)+IF(AND('Race Results'!$Q$15=A18,'Race Results'!$R$15="Yes"),1,0),0),0)+IFERROR(IF('Race Results'!$E$16=A18,25,0)+IF('Race Results'!$G$16=A18,18,0)+IF('Race Results'!$H$16=A18,15,0)+IF('Race Results'!$I$16=A18,12,0)+IF('Race Results'!$J$16=A18,10,0)+IF('Race Results'!$K$16=A18,8,0)+IF('Race Results'!$L$16=A18,6,0)+IF('Race Results'!$M$16=A18,4,0)+IF('Race Results'!$N$16=A18,2,0)+IF('Race Results'!$O$16=A18,1,0)+IF(AND('Race Results'!$Q$16=A18,'Race Results'!$R$16="Yes"),1,0)+IF('Sprint Results'!$E$6=A18,8,0)+IF('Sprint Results'!$F$6=A18,7,0)+IF('Sprint Results'!$G$6=A18,6,0)+IF('Sprint Results'!$H$6=A18,5,0)+IF('Sprint Results'!$I$6=A18,4,0)+IF('Sprint Results'!$J$6=A18,3,0)+IF('Sprint Results'!$K$6=A18,2,0)+IF('Sprint Results'!$L$6=A18,1,0),0),0)+IFERROR(IF('Race Results'!$E$17=A18,25,0)+IF('Race Results'!$G$17=A18,18,0)+IF('Race Results'!$H$17=A18,15,0)+IF('Race Results'!$I$17=A18,12,0)+IF('Race Results'!$J$17=A18,10,0)+IF('Race Results'!$K$17=A18,8,0)+IF('Race Results'!$L$17=A18,6,0)+IF('Race Results'!$M$17=A18,4,0)+IF('Race Results'!$N$17=A18,2,0)+IF('Race Results'!$O$17=A18,1,0)+IF(AND('Race Results'!$Q$17=A18,'Race Results'!$R$17="Yes"),1,0),0),0)</f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</row>
    <row r="42" customFormat="false" ht="14.25" hidden="false" customHeight="true" outlineLevel="0" collapsed="false">
      <c r="A42" s="1" t="s">
        <v>114</v>
      </c>
      <c r="B42" s="1" t="n">
        <f aca="false">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</f>
        <v>0</v>
      </c>
      <c r="C42" s="1" t="n">
        <f aca="false">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</f>
        <v>0</v>
      </c>
      <c r="D42" s="1" t="n">
        <f aca="false">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</f>
        <v>0</v>
      </c>
      <c r="E42" s="1" t="n">
        <f aca="false">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</f>
        <v>0</v>
      </c>
      <c r="F42" s="1" t="n">
        <f aca="false">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</f>
        <v>0</v>
      </c>
      <c r="G42" s="1" t="n">
        <f aca="false">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</f>
        <v>0</v>
      </c>
      <c r="H42" s="1" t="n">
        <f aca="false">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</f>
        <v>0</v>
      </c>
      <c r="I42" s="1" t="n">
        <f aca="false">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</f>
        <v>0</v>
      </c>
      <c r="J42" s="1" t="n">
        <f aca="false">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</f>
        <v>0</v>
      </c>
      <c r="K42" s="1" t="n">
        <f aca="false">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</f>
        <v>0</v>
      </c>
      <c r="L42" s="1" t="n">
        <f aca="false">IFERROR(IFERROR(IFERROR(IFERROR(IFERROR(IFERROR(IFERROR(IFERROR(IFERROR(IFERROR(IFERROR(IFERROR(IF('Race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Results'!$R$11="Yes"),1,0),0),0)+IFERROR(IF('Race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Results'!$R$12="Yes"),1,0),0),0)</f>
        <v>0</v>
      </c>
      <c r="M42" s="1" t="n">
        <f aca="false">IFERROR(IFERROR(IFERROR(IFERROR(IFERROR(IFERROR(IFERROR(IFERROR(IFERROR(IFERROR(IFERROR(IFERROR(IFERROR(IF('Race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Results'!$R$11="Yes"),1,0),0),0)+IFERROR(IF('Race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Results'!$R$12="Yes"),1,0),0),0)+IFERROR(IF('Race Results'!$E$13=A19,25,0)+IF('Race Results'!$G$13=A19,18,0)+IF('Race Results'!$H$13=A19,15,0)+IF('Race Results'!$I$13=A19,12,0)+IF('Race Results'!$J$13=A19,10,0)+IF('Race Results'!$K$13=A19,8,0)+IF('Race Results'!$L$13=A19,6,0)+IF('Race Results'!$M$13=A19,4,0)+IF('Race Results'!$N$13=A19,2,0)+IF('Race Results'!$O$13=A19,1,0)+IF(AND('Race Results'!$Q$13=A19,'Race Results'!$R$13="Yes"),1,0)+IF('Sprint Results'!$E$5=A19,8,0)+IF('Sprint Results'!$F$5=A19,7,0)+IF('Sprint Results'!$G$5=A19,6,0)+IF('Sprint Results'!$H$5=A19,5,0)+IF('Sprint Results'!$I$5=A19,4,0)+IF('Sprint Results'!$J$5=A19,3,0)+IF('Sprint Results'!$K$5=A19,2,0)+IF('Sprint Results'!$L$5=A19,1,0),0),0)</f>
        <v>0</v>
      </c>
      <c r="N42" s="1" t="n">
        <f aca="false">IFERROR(IFERROR(IFERROR(IFERROR(IFERROR(IFERROR(IFERROR(IFERROR(IFERROR(IFERROR(IFERROR(IFERROR(IFERROR(IFERROR(IF('Race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Results'!$R$11="Yes"),1,0),0),0)+IFERROR(IF('Race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Results'!$R$12="Yes"),1,0),0),0)+IFERROR(IF('Race Results'!$E$13=A19,25,0)+IF('Race Results'!$G$13=A19,18,0)+IF('Race Results'!$H$13=A19,15,0)+IF('Race Results'!$I$13=A19,12,0)+IF('Race Results'!$J$13=A19,10,0)+IF('Race Results'!$K$13=A19,8,0)+IF('Race Results'!$L$13=A19,6,0)+IF('Race Results'!$M$13=A19,4,0)+IF('Race Results'!$N$13=A19,2,0)+IF('Race Results'!$O$13=A19,1,0)+IF(AND('Race Results'!$Q$13=A19,'Race Results'!$R$13="Yes"),1,0)+IF('Sprint Results'!$E$5=A19,8,0)+IF('Sprint Results'!$F$5=A19,7,0)+IF('Sprint Results'!$G$5=A19,6,0)+IF('Sprint Results'!$H$5=A19,5,0)+IF('Sprint Results'!$I$5=A19,4,0)+IF('Sprint Results'!$J$5=A19,3,0)+IF('Sprint Results'!$K$5=A19,2,0)+IF('Sprint Results'!$L$5=A19,1,0),0),0)+IFERROR(IF('Race Results'!$E$14=A19,25,0)+IF('Race Results'!$G$14=A19,18,0)+IF('Race Results'!$H$14=A19,15,0)+IF('Race Results'!$I$14=A19,12,0)+IF('Race Results'!$J$14=A19,10,0)+IF('Race Results'!$K$14=A19,8,0)+IF('Race Results'!$L$14=A19,6,0)+IF('Race Results'!$M$14=A19,4,0)+IF('Race Results'!$N$14=A19,2,0)+IF('Race Results'!$O$14=A19,1,0)+IF(AND('Race Results'!$Q$14=A19,'Race Results'!$R$14="Yes"),1,0),0),0)</f>
        <v>0</v>
      </c>
      <c r="O42" s="1" t="n">
        <f aca="false">IFERROR(IFERROR(IFERROR(IFERROR(IFERROR(IFERROR(IFERROR(IFERROR(IFERROR(IFERROR(IFERROR(IFERROR(IFERROR(IFERROR(IFERROR(IF('Race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Results'!$R$11="Yes"),1,0),0),0)+IFERROR(IF('Race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Results'!$R$12="Yes"),1,0),0),0)+IFERROR(IF('Race Results'!$E$13=A19,25,0)+IF('Race Results'!$G$13=A19,18,0)+IF('Race Results'!$H$13=A19,15,0)+IF('Race Results'!$I$13=A19,12,0)+IF('Race Results'!$J$13=A19,10,0)+IF('Race Results'!$K$13=A19,8,0)+IF('Race Results'!$L$13=A19,6,0)+IF('Race Results'!$M$13=A19,4,0)+IF('Race Results'!$N$13=A19,2,0)+IF('Race Results'!$O$13=A19,1,0)+IF(AND('Race Results'!$Q$13=A19,'Race Results'!$R$13="Yes"),1,0)+IF('Sprint Results'!$E$5=A19,8,0)+IF('Sprint Results'!$F$5=A19,7,0)+IF('Sprint Results'!$G$5=A19,6,0)+IF('Sprint Results'!$H$5=A19,5,0)+IF('Sprint Results'!$I$5=A19,4,0)+IF('Sprint Results'!$J$5=A19,3,0)+IF('Sprint Results'!$K$5=A19,2,0)+IF('Sprint Results'!$L$5=A19,1,0),0),0)+IFERROR(IF('Race Results'!$E$14=A19,25,0)+IF('Race Results'!$G$14=A19,18,0)+IF('Race Results'!$H$14=A19,15,0)+IF('Race Results'!$I$14=A19,12,0)+IF('Race Results'!$J$14=A19,10,0)+IF('Race Results'!$K$14=A19,8,0)+IF('Race Results'!$L$14=A19,6,0)+IF('Race Results'!$M$14=A19,4,0)+IF('Race Results'!$N$14=A19,2,0)+IF('Race Results'!$O$14=A19,1,0)+IF(AND('Race Results'!$Q$14=A19,'Race Results'!$R$14="Yes"),1,0),0),0)+IFERROR(IF('Race Results'!$E$15=A19,25,0)+IF('Race Results'!$G$15=A19,18,0)+IF('Race Results'!$H$15=A19,15,0)+IF('Race Results'!$I$15=A19,12,0)+IF('Race Results'!$J$15=A19,10,0)+IF('Race Results'!$K$15=A19,8,0)+IF('Race Results'!$L$15=A19,6,0)+IF('Race Results'!$M$15=A19,4,0)+IF('Race Results'!$N$15=A19,2,0)+IF('Race Results'!$O$15=A19,1,0)+IF(AND('Race Results'!$Q$15=A19,'Race Results'!$R$15="Yes"),1,0),0),0)</f>
        <v>0</v>
      </c>
      <c r="P42" s="1" t="n">
        <f aca="false">IFERROR(IFERROR(IFERROR(IFERROR(IFERROR(IFERROR(IFERROR(IFERROR(IFERROR(IFERROR(IFERROR(IFERROR(IFERROR(IFERROR(IFERROR(IFERROR(IF('Race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Results'!$R$11="Yes"),1,0),0),0)+IFERROR(IF('Race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Results'!$R$12="Yes"),1,0),0),0)+IFERROR(IF('Race Results'!$E$13=A19,25,0)+IF('Race Results'!$G$13=A19,18,0)+IF('Race Results'!$H$13=A19,15,0)+IF('Race Results'!$I$13=A19,12,0)+IF('Race Results'!$J$13=A19,10,0)+IF('Race Results'!$K$13=A19,8,0)+IF('Race Results'!$L$13=A19,6,0)+IF('Race Results'!$M$13=A19,4,0)+IF('Race Results'!$N$13=A19,2,0)+IF('Race Results'!$O$13=A19,1,0)+IF(AND('Race Results'!$Q$13=A19,'Race Results'!$R$13="Yes"),1,0)+IF('Sprint Results'!$E$5=A19,8,0)+IF('Sprint Results'!$F$5=A19,7,0)+IF('Sprint Results'!$G$5=A19,6,0)+IF('Sprint Results'!$H$5=A19,5,0)+IF('Sprint Results'!$I$5=A19,4,0)+IF('Sprint Results'!$J$5=A19,3,0)+IF('Sprint Results'!$K$5=A19,2,0)+IF('Sprint Results'!$L$5=A19,1,0),0),0)+IFERROR(IF('Race Results'!$E$14=A19,25,0)+IF('Race Results'!$G$14=A19,18,0)+IF('Race Results'!$H$14=A19,15,0)+IF('Race Results'!$I$14=A19,12,0)+IF('Race Results'!$J$14=A19,10,0)+IF('Race Results'!$K$14=A19,8,0)+IF('Race Results'!$L$14=A19,6,0)+IF('Race Results'!$M$14=A19,4,0)+IF('Race Results'!$N$14=A19,2,0)+IF('Race Results'!$O$14=A19,1,0)+IF(AND('Race Results'!$Q$14=A19,'Race Results'!$R$14="Yes"),1,0),0),0)+IFERROR(IF('Race Results'!$E$15=A19,25,0)+IF('Race Results'!$G$15=A19,18,0)+IF('Race Results'!$H$15=A19,15,0)+IF('Race Results'!$I$15=A19,12,0)+IF('Race Results'!$J$15=A19,10,0)+IF('Race Results'!$K$15=A19,8,0)+IF('Race Results'!$L$15=A19,6,0)+IF('Race Results'!$M$15=A19,4,0)+IF('Race Results'!$N$15=A19,2,0)+IF('Race Results'!$O$15=A19,1,0)+IF(AND('Race Results'!$Q$15=A19,'Race Results'!$R$15="Yes"),1,0),0),0)+IFERROR(IF('Race Results'!$E$16=A19,25,0)+IF('Race Results'!$G$16=A19,18,0)+IF('Race Results'!$H$16=A19,15,0)+IF('Race Results'!$I$16=A19,12,0)+IF('Race Results'!$J$16=A19,10,0)+IF('Race Results'!$K$16=A19,8,0)+IF('Race Results'!$L$16=A19,6,0)+IF('Race Results'!$M$16=A19,4,0)+IF('Race Results'!$N$16=A19,2,0)+IF('Race Results'!$O$16=A19,1,0)+IF(AND('Race Results'!$Q$16=A19,'Race Results'!$R$16="Yes"),1,0)+IF('Sprint Results'!$E$6=A19,8,0)+IF('Sprint Results'!$F$6=A19,7,0)+IF('Sprint Results'!$G$6=A19,6,0)+IF('Sprint Results'!$H$6=A19,5,0)+IF('Sprint Results'!$I$6=A19,4,0)+IF('Sprint Results'!$J$6=A19,3,0)+IF('Sprint Results'!$K$6=A19,2,0)+IF('Sprint Results'!$L$6=A19,1,0),0),0)</f>
        <v>0</v>
      </c>
      <c r="Q42" s="1" t="n">
        <f aca="false">IFERROR(IFERROR(IFERROR(IFERROR(IFERROR(IFERROR(IFERROR(IFERROR(IFERROR(IFERROR(IFERROR(IFERROR(IFERROR(IFERROR(IFERROR(IFERROR(IFERROR(IF('Race Results'!$E$2=A19,25,0)+IF('Race Results'!$G$2=A19,18,0)+IF('Race Results'!$H$2=A19,15,0)+IF('Race Results'!$I$2=A19,12,0)+IF('Race Results'!$J$2=A19,10,0)+IF('Race Results'!$K$2=A19,8,0)+IF('Race Results'!$L$2=A19,6,0)+IF('Race Results'!$M$2=A19,4,0)+IF('Race Results'!$N$2=A19,2,0)+IF('Race Results'!$O$2=A19,1,0)+IF(AND('Race Results'!$Q$2=A19,'Race Results'!$R$2="Yes"),1,0),0),0)+IFERROR(IF('Race Results'!$E$3=A19,25,0)+IF('Race Results'!$G$3=A19,18,0)+IF('Race Results'!$H$3=A19,15,0)+IF('Race Results'!$I$3=A19,12,0)+IF('Race Results'!$J$3=A19,10,0)+IF('Race Results'!$K$3=A19,8,0)+IF('Race Results'!$L$3=A19,6,0)+IF('Race Results'!$M$3=A19,4,0)+IF('Race Results'!$N$3=A19,2,0)+IF('Race Results'!$O$3=A19,1,0)+IF(AND('Race Results'!$Q$3=A19,'Race Results'!$R$3="Yes"),1,0)+IF('Sprint Results'!$E$2=A19,8,0)+IF('Sprint Results'!$F$2=A19,7,0)+IF('Sprint Results'!$G$2=A19,6,0)+IF('Sprint Results'!$H$2=A19,5,0)+IF('Sprint Results'!$I$2=A19,4,0)+IF('Sprint Results'!$J$2=A19,3,0)+IF('Sprint Results'!$K$2=A19,2,0)+IF('Sprint Results'!$L$2=A19,1,0),0),0)+IFERROR(IF('Race Results'!$E$4=A19,25,0)+IF('Race Results'!$G$4=A19,18,0)+IF('Race Results'!$H$4=A19,15,0)+IF('Race Results'!$I$4=A19,12,0)+IF('Race Results'!$J$4=A19,10,0)+IF('Race Results'!$K$4=A19,8,0)+IF('Race Results'!$L$4=A19,6,0)+IF('Race Results'!$M$4=A19,4,0)+IF('Race Results'!$N$4=A19,2,0)+IF('Race Results'!$O$4=A19,1,0)+IF(AND('Race Results'!$Q$4=A19,'Race Results'!$R$4="Yes"),1,0),0),0)+IFERROR(IF('Race Results'!$E$5=A19,25,0)+IF('Race Results'!$G$5=A19,18,0)+IF('Race Results'!$H$5=A19,15,0)+IF('Race Results'!$I$5=A19,12,0)+IF('Race Results'!$J$5=A19,10,0)+IF('Race Results'!$K$5=A19,8,0)+IF('Race Results'!$L$5=A19,6,0)+IF('Race Results'!$M$5=A19,4,0)+IF('Race Results'!$N$5=A19,2,0)+IF('Race Results'!$O$5=A19,1,0)+IF(AND('Race Results'!$Q$5=A19,'Race Results'!$R$5="Yes"),1,0),0),0)+IFERROR(IF('Race Results'!$E$6=A19,25,0)+IF('Race Results'!$G$6=A19,18,0)+IF('Race Results'!$H$6=A19,15,0)+IF('Race Results'!$I$6=A19,12,0)+IF('Race Results'!$J$6=A19,10,0)+IF('Race Results'!$K$6=A19,8,0)+IF('Race Results'!$L$6=A19,6,0)+IF('Race Results'!$M$6=A19,4,0)+IF('Race Results'!$N$6=A19,2,0)+IF('Race Results'!$O$6=A19,1,0)+IF(AND('Race Results'!$Q$6=A19,'Race Results'!$R$6="Yes"),1,0),0),0)+IFERROR(IF('Race Results'!$E$7=A19,25,0)+IF('Race Results'!$G$7=A19,18,0)+IF('Race Results'!$H$7=A19,15,0)+IF('Race Results'!$I$7=A19,12,0)+IF('Race Results'!$J$7=A19,10,0)+IF('Race Results'!$K$7=A19,8,0)+IF('Race Results'!$L$7=A19,6,0)+IF('Race Results'!$M$7=A19,4,0)+IF('Race Results'!$N$7=A19,2,0)+IF('Race Results'!$O$7=A19,1,0)+IF(AND('Race Results'!$Q$7=A19,'Race Results'!$R$7="Yes"),1,0)+IF('Sprint Results'!$E$3=A19,8,0)+IF('Sprint Results'!$F$3=A19,7,0)+IF('Sprint Results'!$G$3=A19,6,0)+IF('Sprint Results'!$H$3=A19,5,0)+IF('Sprint Results'!$I$3=A19,4,0)+IF('Sprint Results'!$J$3=A19,3,0)+IF('Sprint Results'!$K$3=A19,2,0)+IF('Sprint Results'!$L$3=A19,1,0),0),0)+IFERROR(IF('Race Results'!$E$8=A19,25,0)+IF('Race Results'!$G$8=A19,18,0)+IF('Race Results'!$H$8=A19,15,0)+IF('Race Results'!$I$8=A19,12,0)+IF('Race Results'!$J$8=A19,10,0)+IF('Race Results'!$K$8=A19,8,0)+IF('Race Results'!$L$8=A19,6,0)+IF('Race Results'!$M$8=A19,4,0)+IF('Race Results'!$N$8=A19,2,0)+IF('Race Results'!$O$8=A19,1,0)+IF(AND('Race Results'!$Q$8=A19,'Race Results'!$R$8="Yes"),1,0)+IF('Sprint Results'!$E$4=A19,8,0)+IF('Sprint Results'!$F$4=A19,7,0)+IF('Sprint Results'!$G$4=A19,6,0)+IF('Sprint Results'!$H$4=A19,5,0)+IF('Sprint Results'!$I$4=A19,4,0)+IF('Sprint Results'!$J$4=A19,3,0)+IF('Sprint Results'!$K$4=A19,2,0)+IF('Sprint Results'!$L$4=A19,1,0),0),0)+IFERROR(IF('Race Results'!$E$9=A19,25,0)+IF('Race Results'!$G$9=A19,18,0)+IF('Race Results'!$H$9=A19,15,0)+IF('Race Results'!$I$9=A19,12,0)+IF('Race Results'!$J$9=A19,10,0)+IF('Race Results'!$K$9=A19,8,0)+IF('Race Results'!$L$9=A19,6,0)+IF('Race Results'!$M$9=A19,4,0)+IF('Race Results'!$N$9=A19,2,0)+IF('Race Results'!$O$9=A19,1,0)+IF(AND('Race Results'!$Q$9=A19,'Race Results'!$R$9="Yes"),1,0),0),0)+IFERROR(IF('Race Results'!$E$10=A19,25,0)+IF('Race Results'!$G$10=A19,18,0)+IF('Race Results'!$H$10=A19,15,0)+IF('Race Results'!$I$10=A19,12,0)+IF('Race Results'!$J$10=A19,10,0)+IF('Race Results'!$K$10=A19,8,0)+IF('Race Results'!$L$10=A19,6,0)+IF('Race Results'!$M$10=A19,4,0)+IF('Race Results'!$N$10=A19,2,0)+IF('Race Results'!$O$10=A19,1,0)+IF(AND('Race Results'!$Q$10=A19,'Race Results'!$R$10="Yes"),1,0),0),0)+IFERROR(IF('Race Results'!$E$11=A19,25,0)+IF('Race Results'!$G$11=A19,18,0)+IF('Race Results'!$H$11=A19,15,0)+IF('Race Results'!$I$11=A19,12,0)+IF('Race Results'!$J$11=A19,10,0)+IF('Race Results'!$K$11=A19,8,0)+IF('Race Results'!$L$11=A19,6,0)+IF('Race Results'!$M$11=A19,4,0)+IF('Race Results'!$N$11=A19,2,0)+IF('Race Results'!$O$11=A19,1,0)+IF(AND('Race Results'!$Q$11=A19,'Race Results'!$R$11="Yes"),1,0),0),0)+IFERROR(IF('Race Results'!$E$12=A19,25,0)+IF('Race Results'!$G$12=A19,18,0)+IF('Race Results'!$H$12=A19,15,0)+IF('Race Results'!$I$12=A19,12,0)+IF('Race Results'!$J$12=A19,10,0)+IF('Race Results'!$K$12=A19,8,0)+IF('Race Results'!$L$12=A19,6,0)+IF('Race Results'!$M$12=A19,4,0)+IF('Race Results'!$N$12=A19,2,0)+IF('Race Results'!$O$12=A19,1,0)+IF(AND('Race Results'!$Q$12=A19,'Race Results'!$R$12="Yes"),1,0),0),0)+IFERROR(IF('Race Results'!$E$13=A19,25,0)+IF('Race Results'!$G$13=A19,18,0)+IF('Race Results'!$H$13=A19,15,0)+IF('Race Results'!$I$13=A19,12,0)+IF('Race Results'!$J$13=A19,10,0)+IF('Race Results'!$K$13=A19,8,0)+IF('Race Results'!$L$13=A19,6,0)+IF('Race Results'!$M$13=A19,4,0)+IF('Race Results'!$N$13=A19,2,0)+IF('Race Results'!$O$13=A19,1,0)+IF(AND('Race Results'!$Q$13=A19,'Race Results'!$R$13="Yes"),1,0)+IF('Sprint Results'!$E$5=A19,8,0)+IF('Sprint Results'!$F$5=A19,7,0)+IF('Sprint Results'!$G$5=A19,6,0)+IF('Sprint Results'!$H$5=A19,5,0)+IF('Sprint Results'!$I$5=A19,4,0)+IF('Sprint Results'!$J$5=A19,3,0)+IF('Sprint Results'!$K$5=A19,2,0)+IF('Sprint Results'!$L$5=A19,1,0),0),0)+IFERROR(IF('Race Results'!$E$14=A19,25,0)+IF('Race Results'!$G$14=A19,18,0)+IF('Race Results'!$H$14=A19,15,0)+IF('Race Results'!$I$14=A19,12,0)+IF('Race Results'!$J$14=A19,10,0)+IF('Race Results'!$K$14=A19,8,0)+IF('Race Results'!$L$14=A19,6,0)+IF('Race Results'!$M$14=A19,4,0)+IF('Race Results'!$N$14=A19,2,0)+IF('Race Results'!$O$14=A19,1,0)+IF(AND('Race Results'!$Q$14=A19,'Race Results'!$R$14="Yes"),1,0),0),0)+IFERROR(IF('Race Results'!$E$15=A19,25,0)+IF('Race Results'!$G$15=A19,18,0)+IF('Race Results'!$H$15=A19,15,0)+IF('Race Results'!$I$15=A19,12,0)+IF('Race Results'!$J$15=A19,10,0)+IF('Race Results'!$K$15=A19,8,0)+IF('Race Results'!$L$15=A19,6,0)+IF('Race Results'!$M$15=A19,4,0)+IF('Race Results'!$N$15=A19,2,0)+IF('Race Results'!$O$15=A19,1,0)+IF(AND('Race Results'!$Q$15=A19,'Race Results'!$R$15="Yes"),1,0),0),0)+IFERROR(IF('Race Results'!$E$16=A19,25,0)+IF('Race Results'!$G$16=A19,18,0)+IF('Race Results'!$H$16=A19,15,0)+IF('Race Results'!$I$16=A19,12,0)+IF('Race Results'!$J$16=A19,10,0)+IF('Race Results'!$K$16=A19,8,0)+IF('Race Results'!$L$16=A19,6,0)+IF('Race Results'!$M$16=A19,4,0)+IF('Race Results'!$N$16=A19,2,0)+IF('Race Results'!$O$16=A19,1,0)+IF(AND('Race Results'!$Q$16=A19,'Race Results'!$R$16="Yes"),1,0)+IF('Sprint Results'!$E$6=A19,8,0)+IF('Sprint Results'!$F$6=A19,7,0)+IF('Sprint Results'!$G$6=A19,6,0)+IF('Sprint Results'!$H$6=A19,5,0)+IF('Sprint Results'!$I$6=A19,4,0)+IF('Sprint Results'!$J$6=A19,3,0)+IF('Sprint Results'!$K$6=A19,2,0)+IF('Sprint Results'!$L$6=A19,1,0),0),0)+IFERROR(IF('Race Results'!$E$17=A19,25,0)+IF('Race Results'!$G$17=A19,18,0)+IF('Race Results'!$H$17=A19,15,0)+IF('Race Results'!$I$17=A19,12,0)+IF('Race Results'!$J$17=A19,10,0)+IF('Race Results'!$K$17=A19,8,0)+IF('Race Results'!$L$17=A19,6,0)+IF('Race Results'!$M$17=A19,4,0)+IF('Race Results'!$N$17=A19,2,0)+IF('Race Results'!$O$17=A19,1,0)+IF(AND('Race Results'!$Q$17=A19,'Race Results'!$R$17="Yes"),1,0),0),0)</f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</row>
    <row r="43" customFormat="false" ht="14.25" hidden="false" customHeight="true" outlineLevel="0" collapsed="false">
      <c r="A43" s="1" t="s">
        <v>69</v>
      </c>
      <c r="B43" s="1" t="n">
        <f aca="false">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</f>
        <v>0</v>
      </c>
      <c r="C43" s="1" t="n">
        <f aca="false">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</f>
        <v>0</v>
      </c>
      <c r="D43" s="1" t="n">
        <f aca="false">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</f>
        <v>1</v>
      </c>
      <c r="E43" s="1" t="n">
        <f aca="false">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</f>
        <v>1</v>
      </c>
      <c r="F43" s="1" t="n">
        <f aca="false">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</f>
        <v>1</v>
      </c>
      <c r="G43" s="1" t="n">
        <f aca="false">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</f>
        <v>1</v>
      </c>
      <c r="H43" s="1" t="n">
        <f aca="false">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</f>
        <v>1</v>
      </c>
      <c r="I43" s="1" t="n">
        <f aca="false">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</f>
        <v>1</v>
      </c>
      <c r="J43" s="1" t="n">
        <f aca="false">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</f>
        <v>1</v>
      </c>
      <c r="K43" s="1" t="n">
        <f aca="false">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</f>
        <v>1</v>
      </c>
      <c r="L43" s="1" t="n">
        <f aca="false">IFERROR(IFERROR(IFERROR(IFERROR(IFERROR(IFERROR(IFERROR(IFERROR(IFERROR(IFERROR(IFERROR(IFERROR(IF('Race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Results'!$R$11="Yes"),1,0),0),0)+IFERROR(IF('Race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Results'!$R$12="Yes"),1,0),0),0)</f>
        <v>1</v>
      </c>
      <c r="M43" s="1" t="n">
        <f aca="false">IFERROR(IFERROR(IFERROR(IFERROR(IFERROR(IFERROR(IFERROR(IFERROR(IFERROR(IFERROR(IFERROR(IFERROR(IFERROR(IF('Race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Results'!$R$11="Yes"),1,0),0),0)+IFERROR(IF('Race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Results'!$R$12="Yes"),1,0),0),0)+IFERROR(IF('Race Results'!$E$13=A20,25,0)+IF('Race Results'!$G$13=A20,18,0)+IF('Race Results'!$H$13=A20,15,0)+IF('Race Results'!$I$13=A20,12,0)+IF('Race Results'!$J$13=A20,10,0)+IF('Race Results'!$K$13=A20,8,0)+IF('Race Results'!$L$13=A20,6,0)+IF('Race Results'!$M$13=A20,4,0)+IF('Race Results'!$N$13=A20,2,0)+IF('Race Results'!$O$13=A20,1,0)+IF(AND('Race Results'!$Q$13=A20,'Race Results'!$R$13="Yes"),1,0)+IF('Sprint Results'!$E$5=A20,8,0)+IF('Sprint Results'!$F$5=A20,7,0)+IF('Sprint Results'!$G$5=A20,6,0)+IF('Sprint Results'!$H$5=A20,5,0)+IF('Sprint Results'!$I$5=A20,4,0)+IF('Sprint Results'!$J$5=A20,3,0)+IF('Sprint Results'!$K$5=A20,2,0)+IF('Sprint Results'!$L$5=A20,1,0),0),0)</f>
        <v>1</v>
      </c>
      <c r="N43" s="1" t="n">
        <f aca="false">IFERROR(IFERROR(IFERROR(IFERROR(IFERROR(IFERROR(IFERROR(IFERROR(IFERROR(IFERROR(IFERROR(IFERROR(IFERROR(IFERROR(IF('Race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Results'!$R$11="Yes"),1,0),0),0)+IFERROR(IF('Race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Results'!$R$12="Yes"),1,0),0),0)+IFERROR(IF('Race Results'!$E$13=A20,25,0)+IF('Race Results'!$G$13=A20,18,0)+IF('Race Results'!$H$13=A20,15,0)+IF('Race Results'!$I$13=A20,12,0)+IF('Race Results'!$J$13=A20,10,0)+IF('Race Results'!$K$13=A20,8,0)+IF('Race Results'!$L$13=A20,6,0)+IF('Race Results'!$M$13=A20,4,0)+IF('Race Results'!$N$13=A20,2,0)+IF('Race Results'!$O$13=A20,1,0)+IF(AND('Race Results'!$Q$13=A20,'Race Results'!$R$13="Yes"),1,0)+IF('Sprint Results'!$E$5=A20,8,0)+IF('Sprint Results'!$F$5=A20,7,0)+IF('Sprint Results'!$G$5=A20,6,0)+IF('Sprint Results'!$H$5=A20,5,0)+IF('Sprint Results'!$I$5=A20,4,0)+IF('Sprint Results'!$J$5=A20,3,0)+IF('Sprint Results'!$K$5=A20,2,0)+IF('Sprint Results'!$L$5=A20,1,0),0),0)+IFERROR(IF('Race Results'!$E$14=A20,25,0)+IF('Race Results'!$G$14=A20,18,0)+IF('Race Results'!$H$14=A20,15,0)+IF('Race Results'!$I$14=A20,12,0)+IF('Race Results'!$J$14=A20,10,0)+IF('Race Results'!$K$14=A20,8,0)+IF('Race Results'!$L$14=A20,6,0)+IF('Race Results'!$M$14=A20,4,0)+IF('Race Results'!$N$14=A20,2,0)+IF('Race Results'!$O$14=A20,1,0)+IF(AND('Race Results'!$Q$14=A20,'Race Results'!$R$14="Yes"),1,0),0),0)</f>
        <v>1</v>
      </c>
      <c r="O43" s="1" t="n">
        <f aca="false">IFERROR(IFERROR(IFERROR(IFERROR(IFERROR(IFERROR(IFERROR(IFERROR(IFERROR(IFERROR(IFERROR(IFERROR(IFERROR(IFERROR(IFERROR(IF('Race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Results'!$R$11="Yes"),1,0),0),0)+IFERROR(IF('Race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Results'!$R$12="Yes"),1,0),0),0)+IFERROR(IF('Race Results'!$E$13=A20,25,0)+IF('Race Results'!$G$13=A20,18,0)+IF('Race Results'!$H$13=A20,15,0)+IF('Race Results'!$I$13=A20,12,0)+IF('Race Results'!$J$13=A20,10,0)+IF('Race Results'!$K$13=A20,8,0)+IF('Race Results'!$L$13=A20,6,0)+IF('Race Results'!$M$13=A20,4,0)+IF('Race Results'!$N$13=A20,2,0)+IF('Race Results'!$O$13=A20,1,0)+IF(AND('Race Results'!$Q$13=A20,'Race Results'!$R$13="Yes"),1,0)+IF('Sprint Results'!$E$5=A20,8,0)+IF('Sprint Results'!$F$5=A20,7,0)+IF('Sprint Results'!$G$5=A20,6,0)+IF('Sprint Results'!$H$5=A20,5,0)+IF('Sprint Results'!$I$5=A20,4,0)+IF('Sprint Results'!$J$5=A20,3,0)+IF('Sprint Results'!$K$5=A20,2,0)+IF('Sprint Results'!$L$5=A20,1,0),0),0)+IFERROR(IF('Race Results'!$E$14=A20,25,0)+IF('Race Results'!$G$14=A20,18,0)+IF('Race Results'!$H$14=A20,15,0)+IF('Race Results'!$I$14=A20,12,0)+IF('Race Results'!$J$14=A20,10,0)+IF('Race Results'!$K$14=A20,8,0)+IF('Race Results'!$L$14=A20,6,0)+IF('Race Results'!$M$14=A20,4,0)+IF('Race Results'!$N$14=A20,2,0)+IF('Race Results'!$O$14=A20,1,0)+IF(AND('Race Results'!$Q$14=A20,'Race Results'!$R$14="Yes"),1,0),0),0)+IFERROR(IF('Race Results'!$E$15=A20,25,0)+IF('Race Results'!$G$15=A20,18,0)+IF('Race Results'!$H$15=A20,15,0)+IF('Race Results'!$I$15=A20,12,0)+IF('Race Results'!$J$15=A20,10,0)+IF('Race Results'!$K$15=A20,8,0)+IF('Race Results'!$L$15=A20,6,0)+IF('Race Results'!$M$15=A20,4,0)+IF('Race Results'!$N$15=A20,2,0)+IF('Race Results'!$O$15=A20,1,0)+IF(AND('Race Results'!$Q$15=A20,'Race Results'!$R$15="Yes"),1,0),0),0)</f>
        <v>1</v>
      </c>
      <c r="P43" s="1" t="n">
        <f aca="false">IFERROR(IFERROR(IFERROR(IFERROR(IFERROR(IFERROR(IFERROR(IFERROR(IFERROR(IFERROR(IFERROR(IFERROR(IFERROR(IFERROR(IFERROR(IFERROR(IF('Race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Results'!$R$11="Yes"),1,0),0),0)+IFERROR(IF('Race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Results'!$R$12="Yes"),1,0),0),0)+IFERROR(IF('Race Results'!$E$13=A20,25,0)+IF('Race Results'!$G$13=A20,18,0)+IF('Race Results'!$H$13=A20,15,0)+IF('Race Results'!$I$13=A20,12,0)+IF('Race Results'!$J$13=A20,10,0)+IF('Race Results'!$K$13=A20,8,0)+IF('Race Results'!$L$13=A20,6,0)+IF('Race Results'!$M$13=A20,4,0)+IF('Race Results'!$N$13=A20,2,0)+IF('Race Results'!$O$13=A20,1,0)+IF(AND('Race Results'!$Q$13=A20,'Race Results'!$R$13="Yes"),1,0)+IF('Sprint Results'!$E$5=A20,8,0)+IF('Sprint Results'!$F$5=A20,7,0)+IF('Sprint Results'!$G$5=A20,6,0)+IF('Sprint Results'!$H$5=A20,5,0)+IF('Sprint Results'!$I$5=A20,4,0)+IF('Sprint Results'!$J$5=A20,3,0)+IF('Sprint Results'!$K$5=A20,2,0)+IF('Sprint Results'!$L$5=A20,1,0),0),0)+IFERROR(IF('Race Results'!$E$14=A20,25,0)+IF('Race Results'!$G$14=A20,18,0)+IF('Race Results'!$H$14=A20,15,0)+IF('Race Results'!$I$14=A20,12,0)+IF('Race Results'!$J$14=A20,10,0)+IF('Race Results'!$K$14=A20,8,0)+IF('Race Results'!$L$14=A20,6,0)+IF('Race Results'!$M$14=A20,4,0)+IF('Race Results'!$N$14=A20,2,0)+IF('Race Results'!$O$14=A20,1,0)+IF(AND('Race Results'!$Q$14=A20,'Race Results'!$R$14="Yes"),1,0),0),0)+IFERROR(IF('Race Results'!$E$15=A20,25,0)+IF('Race Results'!$G$15=A20,18,0)+IF('Race Results'!$H$15=A20,15,0)+IF('Race Results'!$I$15=A20,12,0)+IF('Race Results'!$J$15=A20,10,0)+IF('Race Results'!$K$15=A20,8,0)+IF('Race Results'!$L$15=A20,6,0)+IF('Race Results'!$M$15=A20,4,0)+IF('Race Results'!$N$15=A20,2,0)+IF('Race Results'!$O$15=A20,1,0)+IF(AND('Race Results'!$Q$15=A20,'Race Results'!$R$15="Yes"),1,0),0),0)+IFERROR(IF('Race Results'!$E$16=A20,25,0)+IF('Race Results'!$G$16=A20,18,0)+IF('Race Results'!$H$16=A20,15,0)+IF('Race Results'!$I$16=A20,12,0)+IF('Race Results'!$J$16=A20,10,0)+IF('Race Results'!$K$16=A20,8,0)+IF('Race Results'!$L$16=A20,6,0)+IF('Race Results'!$M$16=A20,4,0)+IF('Race Results'!$N$16=A20,2,0)+IF('Race Results'!$O$16=A20,1,0)+IF(AND('Race Results'!$Q$16=A20,'Race Results'!$R$16="Yes"),1,0)+IF('Sprint Results'!$E$6=A20,8,0)+IF('Sprint Results'!$F$6=A20,7,0)+IF('Sprint Results'!$G$6=A20,6,0)+IF('Sprint Results'!$H$6=A20,5,0)+IF('Sprint Results'!$I$6=A20,4,0)+IF('Sprint Results'!$J$6=A20,3,0)+IF('Sprint Results'!$K$6=A20,2,0)+IF('Sprint Results'!$L$6=A20,1,0),0),0)</f>
        <v>1</v>
      </c>
      <c r="Q43" s="1" t="n">
        <f aca="false">IFERROR(IFERROR(IFERROR(IFERROR(IFERROR(IFERROR(IFERROR(IFERROR(IFERROR(IFERROR(IFERROR(IFERROR(IFERROR(IFERROR(IFERROR(IFERROR(IFERROR(IF('Race Results'!$E$2=A20,25,0)+IF('Race Results'!$G$2=A20,18,0)+IF('Race Results'!$H$2=A20,15,0)+IF('Race Results'!$I$2=A20,12,0)+IF('Race Results'!$J$2=A20,10,0)+IF('Race Results'!$K$2=A20,8,0)+IF('Race Results'!$L$2=A20,6,0)+IF('Race Results'!$M$2=A20,4,0)+IF('Race Results'!$N$2=A20,2,0)+IF('Race Results'!$O$2=A20,1,0)+IF(AND('Race Results'!$Q$2=A20,'Race Results'!$R$2="Yes"),1,0),0),0)+IFERROR(IF('Race Results'!$E$3=A20,25,0)+IF('Race Results'!$G$3=A20,18,0)+IF('Race Results'!$H$3=A20,15,0)+IF('Race Results'!$I$3=A20,12,0)+IF('Race Results'!$J$3=A20,10,0)+IF('Race Results'!$K$3=A20,8,0)+IF('Race Results'!$L$3=A20,6,0)+IF('Race Results'!$M$3=A20,4,0)+IF('Race Results'!$N$3=A20,2,0)+IF('Race Results'!$O$3=A20,1,0)+IF(AND('Race Results'!$Q$3=A20,'Race Results'!$R$3="Yes"),1,0)+IF('Sprint Results'!$E$2=A20,8,0)+IF('Sprint Results'!$F$2=A20,7,0)+IF('Sprint Results'!$G$2=A20,6,0)+IF('Sprint Results'!$H$2=A20,5,0)+IF('Sprint Results'!$I$2=A20,4,0)+IF('Sprint Results'!$J$2=A20,3,0)+IF('Sprint Results'!$K$2=A20,2,0)+IF('Sprint Results'!$L$2=A20,1,0),0),0)+IFERROR(IF('Race Results'!$E$4=A20,25,0)+IF('Race Results'!$G$4=A20,18,0)+IF('Race Results'!$H$4=A20,15,0)+IF('Race Results'!$I$4=A20,12,0)+IF('Race Results'!$J$4=A20,10,0)+IF('Race Results'!$K$4=A20,8,0)+IF('Race Results'!$L$4=A20,6,0)+IF('Race Results'!$M$4=A20,4,0)+IF('Race Results'!$N$4=A20,2,0)+IF('Race Results'!$O$4=A20,1,0)+IF(AND('Race Results'!$Q$4=A20,'Race Results'!$R$4="Yes"),1,0),0),0)+IFERROR(IF('Race Results'!$E$5=A20,25,0)+IF('Race Results'!$G$5=A20,18,0)+IF('Race Results'!$H$5=A20,15,0)+IF('Race Results'!$I$5=A20,12,0)+IF('Race Results'!$J$5=A20,10,0)+IF('Race Results'!$K$5=A20,8,0)+IF('Race Results'!$L$5=A20,6,0)+IF('Race Results'!$M$5=A20,4,0)+IF('Race Results'!$N$5=A20,2,0)+IF('Race Results'!$O$5=A20,1,0)+IF(AND('Race Results'!$Q$5=A20,'Race Results'!$R$5="Yes"),1,0),0),0)+IFERROR(IF('Race Results'!$E$6=A20,25,0)+IF('Race Results'!$G$6=A20,18,0)+IF('Race Results'!$H$6=A20,15,0)+IF('Race Results'!$I$6=A20,12,0)+IF('Race Results'!$J$6=A20,10,0)+IF('Race Results'!$K$6=A20,8,0)+IF('Race Results'!$L$6=A20,6,0)+IF('Race Results'!$M$6=A20,4,0)+IF('Race Results'!$N$6=A20,2,0)+IF('Race Results'!$O$6=A20,1,0)+IF(AND('Race Results'!$Q$6=A20,'Race Results'!$R$6="Yes"),1,0),0),0)+IFERROR(IF('Race Results'!$E$7=A20,25,0)+IF('Race Results'!$G$7=A20,18,0)+IF('Race Results'!$H$7=A20,15,0)+IF('Race Results'!$I$7=A20,12,0)+IF('Race Results'!$J$7=A20,10,0)+IF('Race Results'!$K$7=A20,8,0)+IF('Race Results'!$L$7=A20,6,0)+IF('Race Results'!$M$7=A20,4,0)+IF('Race Results'!$N$7=A20,2,0)+IF('Race Results'!$O$7=A20,1,0)+IF(AND('Race Results'!$Q$7=A20,'Race Results'!$R$7="Yes"),1,0)+IF('Sprint Results'!$E$3=A20,8,0)+IF('Sprint Results'!$F$3=A20,7,0)+IF('Sprint Results'!$G$3=A20,6,0)+IF('Sprint Results'!$H$3=A20,5,0)+IF('Sprint Results'!$I$3=A20,4,0)+IF('Sprint Results'!$J$3=A20,3,0)+IF('Sprint Results'!$K$3=A20,2,0)+IF('Sprint Results'!$L$3=A20,1,0),0),0)+IFERROR(IF('Race Results'!$E$8=A20,25,0)+IF('Race Results'!$G$8=A20,18,0)+IF('Race Results'!$H$8=A20,15,0)+IF('Race Results'!$I$8=A20,12,0)+IF('Race Results'!$J$8=A20,10,0)+IF('Race Results'!$K$8=A20,8,0)+IF('Race Results'!$L$8=A20,6,0)+IF('Race Results'!$M$8=A20,4,0)+IF('Race Results'!$N$8=A20,2,0)+IF('Race Results'!$O$8=A20,1,0)+IF(AND('Race Results'!$Q$8=A20,'Race Results'!$R$8="Yes"),1,0)+IF('Sprint Results'!$E$4=A20,8,0)+IF('Sprint Results'!$F$4=A20,7,0)+IF('Sprint Results'!$G$4=A20,6,0)+IF('Sprint Results'!$H$4=A20,5,0)+IF('Sprint Results'!$I$4=A20,4,0)+IF('Sprint Results'!$J$4=A20,3,0)+IF('Sprint Results'!$K$4=A20,2,0)+IF('Sprint Results'!$L$4=A20,1,0),0),0)+IFERROR(IF('Race Results'!$E$9=A20,25,0)+IF('Race Results'!$G$9=A20,18,0)+IF('Race Results'!$H$9=A20,15,0)+IF('Race Results'!$I$9=A20,12,0)+IF('Race Results'!$J$9=A20,10,0)+IF('Race Results'!$K$9=A20,8,0)+IF('Race Results'!$L$9=A20,6,0)+IF('Race Results'!$M$9=A20,4,0)+IF('Race Results'!$N$9=A20,2,0)+IF('Race Results'!$O$9=A20,1,0)+IF(AND('Race Results'!$Q$9=A20,'Race Results'!$R$9="Yes"),1,0),0),0)+IFERROR(IF('Race Results'!$E$10=A20,25,0)+IF('Race Results'!$G$10=A20,18,0)+IF('Race Results'!$H$10=A20,15,0)+IF('Race Results'!$I$10=A20,12,0)+IF('Race Results'!$J$10=A20,10,0)+IF('Race Results'!$K$10=A20,8,0)+IF('Race Results'!$L$10=A20,6,0)+IF('Race Results'!$M$10=A20,4,0)+IF('Race Results'!$N$10=A20,2,0)+IF('Race Results'!$O$10=A20,1,0)+IF(AND('Race Results'!$Q$10=A20,'Race Results'!$R$10="Yes"),1,0),0),0)+IFERROR(IF('Race Results'!$E$11=A20,25,0)+IF('Race Results'!$G$11=A20,18,0)+IF('Race Results'!$H$11=A20,15,0)+IF('Race Results'!$I$11=A20,12,0)+IF('Race Results'!$J$11=A20,10,0)+IF('Race Results'!$K$11=A20,8,0)+IF('Race Results'!$L$11=A20,6,0)+IF('Race Results'!$M$11=A20,4,0)+IF('Race Results'!$N$11=A20,2,0)+IF('Race Results'!$O$11=A20,1,0)+IF(AND('Race Results'!$Q$11=A20,'Race Results'!$R$11="Yes"),1,0),0),0)+IFERROR(IF('Race Results'!$E$12=A20,25,0)+IF('Race Results'!$G$12=A20,18,0)+IF('Race Results'!$H$12=A20,15,0)+IF('Race Results'!$I$12=A20,12,0)+IF('Race Results'!$J$12=A20,10,0)+IF('Race Results'!$K$12=A20,8,0)+IF('Race Results'!$L$12=A20,6,0)+IF('Race Results'!$M$12=A20,4,0)+IF('Race Results'!$N$12=A20,2,0)+IF('Race Results'!$O$12=A20,1,0)+IF(AND('Race Results'!$Q$12=A20,'Race Results'!$R$12="Yes"),1,0),0),0)+IFERROR(IF('Race Results'!$E$13=A20,25,0)+IF('Race Results'!$G$13=A20,18,0)+IF('Race Results'!$H$13=A20,15,0)+IF('Race Results'!$I$13=A20,12,0)+IF('Race Results'!$J$13=A20,10,0)+IF('Race Results'!$K$13=A20,8,0)+IF('Race Results'!$L$13=A20,6,0)+IF('Race Results'!$M$13=A20,4,0)+IF('Race Results'!$N$13=A20,2,0)+IF('Race Results'!$O$13=A20,1,0)+IF(AND('Race Results'!$Q$13=A20,'Race Results'!$R$13="Yes"),1,0)+IF('Sprint Results'!$E$5=A20,8,0)+IF('Sprint Results'!$F$5=A20,7,0)+IF('Sprint Results'!$G$5=A20,6,0)+IF('Sprint Results'!$H$5=A20,5,0)+IF('Sprint Results'!$I$5=A20,4,0)+IF('Sprint Results'!$J$5=A20,3,0)+IF('Sprint Results'!$K$5=A20,2,0)+IF('Sprint Results'!$L$5=A20,1,0),0),0)+IFERROR(IF('Race Results'!$E$14=A20,25,0)+IF('Race Results'!$G$14=A20,18,0)+IF('Race Results'!$H$14=A20,15,0)+IF('Race Results'!$I$14=A20,12,0)+IF('Race Results'!$J$14=A20,10,0)+IF('Race Results'!$K$14=A20,8,0)+IF('Race Results'!$L$14=A20,6,0)+IF('Race Results'!$M$14=A20,4,0)+IF('Race Results'!$N$14=A20,2,0)+IF('Race Results'!$O$14=A20,1,0)+IF(AND('Race Results'!$Q$14=A20,'Race Results'!$R$14="Yes"),1,0),0),0)+IFERROR(IF('Race Results'!$E$15=A20,25,0)+IF('Race Results'!$G$15=A20,18,0)+IF('Race Results'!$H$15=A20,15,0)+IF('Race Results'!$I$15=A20,12,0)+IF('Race Results'!$J$15=A20,10,0)+IF('Race Results'!$K$15=A20,8,0)+IF('Race Results'!$L$15=A20,6,0)+IF('Race Results'!$M$15=A20,4,0)+IF('Race Results'!$N$15=A20,2,0)+IF('Race Results'!$O$15=A20,1,0)+IF(AND('Race Results'!$Q$15=A20,'Race Results'!$R$15="Yes"),1,0),0),0)+IFERROR(IF('Race Results'!$E$16=A20,25,0)+IF('Race Results'!$G$16=A20,18,0)+IF('Race Results'!$H$16=A20,15,0)+IF('Race Results'!$I$16=A20,12,0)+IF('Race Results'!$J$16=A20,10,0)+IF('Race Results'!$K$16=A20,8,0)+IF('Race Results'!$L$16=A20,6,0)+IF('Race Results'!$M$16=A20,4,0)+IF('Race Results'!$N$16=A20,2,0)+IF('Race Results'!$O$16=A20,1,0)+IF(AND('Race Results'!$Q$16=A20,'Race Results'!$R$16="Yes"),1,0)+IF('Sprint Results'!$E$6=A20,8,0)+IF('Sprint Results'!$F$6=A20,7,0)+IF('Sprint Results'!$G$6=A20,6,0)+IF('Sprint Results'!$H$6=A20,5,0)+IF('Sprint Results'!$I$6=A20,4,0)+IF('Sprint Results'!$J$6=A20,3,0)+IF('Sprint Results'!$K$6=A20,2,0)+IF('Sprint Results'!$L$6=A20,1,0),0),0)+IFERROR(IF('Race Results'!$E$17=A20,25,0)+IF('Race Results'!$G$17=A20,18,0)+IF('Race Results'!$H$17=A20,15,0)+IF('Race Results'!$I$17=A20,12,0)+IF('Race Results'!$J$17=A20,10,0)+IF('Race Results'!$K$17=A20,8,0)+IF('Race Results'!$L$17=A20,6,0)+IF('Race Results'!$M$17=A20,4,0)+IF('Race Results'!$N$17=A20,2,0)+IF('Race Results'!$O$17=A20,1,0)+IF(AND('Race Results'!$Q$17=A20,'Race Results'!$R$17="Yes"),1,0),0),0)</f>
        <v>1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</row>
    <row r="44" customFormat="false" ht="14.25" hidden="false" customHeight="true" outlineLevel="0" collapsed="false">
      <c r="A44" s="1" t="s">
        <v>115</v>
      </c>
      <c r="B44" s="1" t="n">
        <f aca="false">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</f>
        <v>0</v>
      </c>
      <c r="C44" s="1" t="n">
        <f aca="false">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</f>
        <v>0</v>
      </c>
      <c r="D44" s="1" t="n">
        <f aca="false">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</f>
        <v>0</v>
      </c>
      <c r="E44" s="1" t="n">
        <f aca="false">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</f>
        <v>0</v>
      </c>
      <c r="F44" s="1" t="n">
        <f aca="false">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</f>
        <v>0</v>
      </c>
      <c r="G44" s="1" t="n">
        <f aca="false">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</f>
        <v>0</v>
      </c>
      <c r="H44" s="1" t="n">
        <f aca="false">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</f>
        <v>0</v>
      </c>
      <c r="I44" s="1" t="n">
        <f aca="false">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</f>
        <v>0</v>
      </c>
      <c r="J44" s="1" t="n">
        <f aca="false">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</f>
        <v>0</v>
      </c>
      <c r="K44" s="1" t="n">
        <f aca="false">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</f>
        <v>0</v>
      </c>
      <c r="L44" s="1" t="n">
        <f aca="false">IFERROR(IFERROR(IFERROR(IFERROR(IFERROR(IFERROR(IFERROR(IFERROR(IFERROR(IFERROR(IFERROR(IFERROR(IF('Race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Results'!$R$11="Yes"),1,0),0),0)+IFERROR(IF('Race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Results'!$R$12="Yes"),1,0),0),0)</f>
        <v>0</v>
      </c>
      <c r="M44" s="1" t="n">
        <f aca="false">IFERROR(IFERROR(IFERROR(IFERROR(IFERROR(IFERROR(IFERROR(IFERROR(IFERROR(IFERROR(IFERROR(IFERROR(IFERROR(IF('Race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Results'!$R$11="Yes"),1,0),0),0)+IFERROR(IF('Race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Results'!$R$12="Yes"),1,0),0),0)+IFERROR(IF('Race Results'!$E$13=A21,25,0)+IF('Race Results'!$G$13=A21,18,0)+IF('Race Results'!$H$13=A21,15,0)+IF('Race Results'!$I$13=A21,12,0)+IF('Race Results'!$J$13=A21,10,0)+IF('Race Results'!$K$13=A21,8,0)+IF('Race Results'!$L$13=A21,6,0)+IF('Race Results'!$M$13=A21,4,0)+IF('Race Results'!$N$13=A21,2,0)+IF('Race Results'!$O$13=A21,1,0)+IF(AND('Race Results'!$Q$13=A21,'Race Results'!$R$13="Yes"),1,0)+IF('Sprint Results'!$E$5=A21,8,0)+IF('Sprint Results'!$F$5=A21,7,0)+IF('Sprint Results'!$G$5=A21,6,0)+IF('Sprint Results'!$H$5=A21,5,0)+IF('Sprint Results'!$I$5=A21,4,0)+IF('Sprint Results'!$J$5=A21,3,0)+IF('Sprint Results'!$K$5=A21,2,0)+IF('Sprint Results'!$L$5=A21,1,0),0),0)</f>
        <v>0</v>
      </c>
      <c r="N44" s="1" t="n">
        <f aca="false">IFERROR(IFERROR(IFERROR(IFERROR(IFERROR(IFERROR(IFERROR(IFERROR(IFERROR(IFERROR(IFERROR(IFERROR(IFERROR(IFERROR(IF('Race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Results'!$R$11="Yes"),1,0),0),0)+IFERROR(IF('Race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Results'!$R$12="Yes"),1,0),0),0)+IFERROR(IF('Race Results'!$E$13=A21,25,0)+IF('Race Results'!$G$13=A21,18,0)+IF('Race Results'!$H$13=A21,15,0)+IF('Race Results'!$I$13=A21,12,0)+IF('Race Results'!$J$13=A21,10,0)+IF('Race Results'!$K$13=A21,8,0)+IF('Race Results'!$L$13=A21,6,0)+IF('Race Results'!$M$13=A21,4,0)+IF('Race Results'!$N$13=A21,2,0)+IF('Race Results'!$O$13=A21,1,0)+IF(AND('Race Results'!$Q$13=A21,'Race Results'!$R$13="Yes"),1,0)+IF('Sprint Results'!$E$5=A21,8,0)+IF('Sprint Results'!$F$5=A21,7,0)+IF('Sprint Results'!$G$5=A21,6,0)+IF('Sprint Results'!$H$5=A21,5,0)+IF('Sprint Results'!$I$5=A21,4,0)+IF('Sprint Results'!$J$5=A21,3,0)+IF('Sprint Results'!$K$5=A21,2,0)+IF('Sprint Results'!$L$5=A21,1,0),0),0)+IFERROR(IF('Race Results'!$E$14=A21,25,0)+IF('Race Results'!$G$14=A21,18,0)+IF('Race Results'!$H$14=A21,15,0)+IF('Race Results'!$I$14=A21,12,0)+IF('Race Results'!$J$14=A21,10,0)+IF('Race Results'!$K$14=A21,8,0)+IF('Race Results'!$L$14=A21,6,0)+IF('Race Results'!$M$14=A21,4,0)+IF('Race Results'!$N$14=A21,2,0)+IF('Race Results'!$O$14=A21,1,0)+IF(AND('Race Results'!$Q$14=A21,'Race Results'!$R$14="Yes"),1,0),0),0)</f>
        <v>0</v>
      </c>
      <c r="O44" s="1" t="n">
        <f aca="false">IFERROR(IFERROR(IFERROR(IFERROR(IFERROR(IFERROR(IFERROR(IFERROR(IFERROR(IFERROR(IFERROR(IFERROR(IFERROR(IFERROR(IFERROR(IF('Race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Results'!$R$11="Yes"),1,0),0),0)+IFERROR(IF('Race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Results'!$R$12="Yes"),1,0),0),0)+IFERROR(IF('Race Results'!$E$13=A21,25,0)+IF('Race Results'!$G$13=A21,18,0)+IF('Race Results'!$H$13=A21,15,0)+IF('Race Results'!$I$13=A21,12,0)+IF('Race Results'!$J$13=A21,10,0)+IF('Race Results'!$K$13=A21,8,0)+IF('Race Results'!$L$13=A21,6,0)+IF('Race Results'!$M$13=A21,4,0)+IF('Race Results'!$N$13=A21,2,0)+IF('Race Results'!$O$13=A21,1,0)+IF(AND('Race Results'!$Q$13=A21,'Race Results'!$R$13="Yes"),1,0)+IF('Sprint Results'!$E$5=A21,8,0)+IF('Sprint Results'!$F$5=A21,7,0)+IF('Sprint Results'!$G$5=A21,6,0)+IF('Sprint Results'!$H$5=A21,5,0)+IF('Sprint Results'!$I$5=A21,4,0)+IF('Sprint Results'!$J$5=A21,3,0)+IF('Sprint Results'!$K$5=A21,2,0)+IF('Sprint Results'!$L$5=A21,1,0),0),0)+IFERROR(IF('Race Results'!$E$14=A21,25,0)+IF('Race Results'!$G$14=A21,18,0)+IF('Race Results'!$H$14=A21,15,0)+IF('Race Results'!$I$14=A21,12,0)+IF('Race Results'!$J$14=A21,10,0)+IF('Race Results'!$K$14=A21,8,0)+IF('Race Results'!$L$14=A21,6,0)+IF('Race Results'!$M$14=A21,4,0)+IF('Race Results'!$N$14=A21,2,0)+IF('Race Results'!$O$14=A21,1,0)+IF(AND('Race Results'!$Q$14=A21,'Race Results'!$R$14="Yes"),1,0),0),0)+IFERROR(IF('Race Results'!$E$15=A21,25,0)+IF('Race Results'!$G$15=A21,18,0)+IF('Race Results'!$H$15=A21,15,0)+IF('Race Results'!$I$15=A21,12,0)+IF('Race Results'!$J$15=A21,10,0)+IF('Race Results'!$K$15=A21,8,0)+IF('Race Results'!$L$15=A21,6,0)+IF('Race Results'!$M$15=A21,4,0)+IF('Race Results'!$N$15=A21,2,0)+IF('Race Results'!$O$15=A21,1,0)+IF(AND('Race Results'!$Q$15=A21,'Race Results'!$R$15="Yes"),1,0),0),0)</f>
        <v>0</v>
      </c>
      <c r="P44" s="1" t="n">
        <f aca="false">IFERROR(IFERROR(IFERROR(IFERROR(IFERROR(IFERROR(IFERROR(IFERROR(IFERROR(IFERROR(IFERROR(IFERROR(IFERROR(IFERROR(IFERROR(IFERROR(IF('Race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Results'!$R$11="Yes"),1,0),0),0)+IFERROR(IF('Race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Results'!$R$12="Yes"),1,0),0),0)+IFERROR(IF('Race Results'!$E$13=A21,25,0)+IF('Race Results'!$G$13=A21,18,0)+IF('Race Results'!$H$13=A21,15,0)+IF('Race Results'!$I$13=A21,12,0)+IF('Race Results'!$J$13=A21,10,0)+IF('Race Results'!$K$13=A21,8,0)+IF('Race Results'!$L$13=A21,6,0)+IF('Race Results'!$M$13=A21,4,0)+IF('Race Results'!$N$13=A21,2,0)+IF('Race Results'!$O$13=A21,1,0)+IF(AND('Race Results'!$Q$13=A21,'Race Results'!$R$13="Yes"),1,0)+IF('Sprint Results'!$E$5=A21,8,0)+IF('Sprint Results'!$F$5=A21,7,0)+IF('Sprint Results'!$G$5=A21,6,0)+IF('Sprint Results'!$H$5=A21,5,0)+IF('Sprint Results'!$I$5=A21,4,0)+IF('Sprint Results'!$J$5=A21,3,0)+IF('Sprint Results'!$K$5=A21,2,0)+IF('Sprint Results'!$L$5=A21,1,0),0),0)+IFERROR(IF('Race Results'!$E$14=A21,25,0)+IF('Race Results'!$G$14=A21,18,0)+IF('Race Results'!$H$14=A21,15,0)+IF('Race Results'!$I$14=A21,12,0)+IF('Race Results'!$J$14=A21,10,0)+IF('Race Results'!$K$14=A21,8,0)+IF('Race Results'!$L$14=A21,6,0)+IF('Race Results'!$M$14=A21,4,0)+IF('Race Results'!$N$14=A21,2,0)+IF('Race Results'!$O$14=A21,1,0)+IF(AND('Race Results'!$Q$14=A21,'Race Results'!$R$14="Yes"),1,0),0),0)+IFERROR(IF('Race Results'!$E$15=A21,25,0)+IF('Race Results'!$G$15=A21,18,0)+IF('Race Results'!$H$15=A21,15,0)+IF('Race Results'!$I$15=A21,12,0)+IF('Race Results'!$J$15=A21,10,0)+IF('Race Results'!$K$15=A21,8,0)+IF('Race Results'!$L$15=A21,6,0)+IF('Race Results'!$M$15=A21,4,0)+IF('Race Results'!$N$15=A21,2,0)+IF('Race Results'!$O$15=A21,1,0)+IF(AND('Race Results'!$Q$15=A21,'Race Results'!$R$15="Yes"),1,0),0),0)+IFERROR(IF('Race Results'!$E$16=A21,25,0)+IF('Race Results'!$G$16=A21,18,0)+IF('Race Results'!$H$16=A21,15,0)+IF('Race Results'!$I$16=A21,12,0)+IF('Race Results'!$J$16=A21,10,0)+IF('Race Results'!$K$16=A21,8,0)+IF('Race Results'!$L$16=A21,6,0)+IF('Race Results'!$M$16=A21,4,0)+IF('Race Results'!$N$16=A21,2,0)+IF('Race Results'!$O$16=A21,1,0)+IF(AND('Race Results'!$Q$16=A21,'Race Results'!$R$16="Yes"),1,0)+IF('Sprint Results'!$E$6=A21,8,0)+IF('Sprint Results'!$F$6=A21,7,0)+IF('Sprint Results'!$G$6=A21,6,0)+IF('Sprint Results'!$H$6=A21,5,0)+IF('Sprint Results'!$I$6=A21,4,0)+IF('Sprint Results'!$J$6=A21,3,0)+IF('Sprint Results'!$K$6=A21,2,0)+IF('Sprint Results'!$L$6=A21,1,0),0),0)</f>
        <v>0</v>
      </c>
      <c r="Q44" s="1" t="n">
        <f aca="false">IFERROR(IFERROR(IFERROR(IFERROR(IFERROR(IFERROR(IFERROR(IFERROR(IFERROR(IFERROR(IFERROR(IFERROR(IFERROR(IFERROR(IFERROR(IFERROR(IFERROR(IF('Race Results'!$E$2=A21,25,0)+IF('Race Results'!$G$2=A21,18,0)+IF('Race Results'!$H$2=A21,15,0)+IF('Race Results'!$I$2=A21,12,0)+IF('Race Results'!$J$2=A21,10,0)+IF('Race Results'!$K$2=A21,8,0)+IF('Race Results'!$L$2=A21,6,0)+IF('Race Results'!$M$2=A21,4,0)+IF('Race Results'!$N$2=A21,2,0)+IF('Race Results'!$O$2=A21,1,0)+IF(AND('Race Results'!$Q$2=A21,'Race Results'!$R$2="Yes"),1,0),0),0)+IFERROR(IF('Race Results'!$E$3=A21,25,0)+IF('Race Results'!$G$3=A21,18,0)+IF('Race Results'!$H$3=A21,15,0)+IF('Race Results'!$I$3=A21,12,0)+IF('Race Results'!$J$3=A21,10,0)+IF('Race Results'!$K$3=A21,8,0)+IF('Race Results'!$L$3=A21,6,0)+IF('Race Results'!$M$3=A21,4,0)+IF('Race Results'!$N$3=A21,2,0)+IF('Race Results'!$O$3=A21,1,0)+IF(AND('Race Results'!$Q$3=A21,'Race Results'!$R$3="Yes"),1,0)+IF('Sprint Results'!$E$2=A21,8,0)+IF('Sprint Results'!$F$2=A21,7,0)+IF('Sprint Results'!$G$2=A21,6,0)+IF('Sprint Results'!$H$2=A21,5,0)+IF('Sprint Results'!$I$2=A21,4,0)+IF('Sprint Results'!$J$2=A21,3,0)+IF('Sprint Results'!$K$2=A21,2,0)+IF('Sprint Results'!$L$2=A21,1,0),0),0)+IFERROR(IF('Race Results'!$E$4=A21,25,0)+IF('Race Results'!$G$4=A21,18,0)+IF('Race Results'!$H$4=A21,15,0)+IF('Race Results'!$I$4=A21,12,0)+IF('Race Results'!$J$4=A21,10,0)+IF('Race Results'!$K$4=A21,8,0)+IF('Race Results'!$L$4=A21,6,0)+IF('Race Results'!$M$4=A21,4,0)+IF('Race Results'!$N$4=A21,2,0)+IF('Race Results'!$O$4=A21,1,0)+IF(AND('Race Results'!$Q$4=A21,'Race Results'!$R$4="Yes"),1,0),0),0)+IFERROR(IF('Race Results'!$E$5=A21,25,0)+IF('Race Results'!$G$5=A21,18,0)+IF('Race Results'!$H$5=A21,15,0)+IF('Race Results'!$I$5=A21,12,0)+IF('Race Results'!$J$5=A21,10,0)+IF('Race Results'!$K$5=A21,8,0)+IF('Race Results'!$L$5=A21,6,0)+IF('Race Results'!$M$5=A21,4,0)+IF('Race Results'!$N$5=A21,2,0)+IF('Race Results'!$O$5=A21,1,0)+IF(AND('Race Results'!$Q$5=A21,'Race Results'!$R$5="Yes"),1,0),0),0)+IFERROR(IF('Race Results'!$E$6=A21,25,0)+IF('Race Results'!$G$6=A21,18,0)+IF('Race Results'!$H$6=A21,15,0)+IF('Race Results'!$I$6=A21,12,0)+IF('Race Results'!$J$6=A21,10,0)+IF('Race Results'!$K$6=A21,8,0)+IF('Race Results'!$L$6=A21,6,0)+IF('Race Results'!$M$6=A21,4,0)+IF('Race Results'!$N$6=A21,2,0)+IF('Race Results'!$O$6=A21,1,0)+IF(AND('Race Results'!$Q$6=A21,'Race Results'!$R$6="Yes"),1,0),0),0)+IFERROR(IF('Race Results'!$E$7=A21,25,0)+IF('Race Results'!$G$7=A21,18,0)+IF('Race Results'!$H$7=A21,15,0)+IF('Race Results'!$I$7=A21,12,0)+IF('Race Results'!$J$7=A21,10,0)+IF('Race Results'!$K$7=A21,8,0)+IF('Race Results'!$L$7=A21,6,0)+IF('Race Results'!$M$7=A21,4,0)+IF('Race Results'!$N$7=A21,2,0)+IF('Race Results'!$O$7=A21,1,0)+IF(AND('Race Results'!$Q$7=A21,'Race Results'!$R$7="Yes"),1,0)+IF('Sprint Results'!$E$3=A21,8,0)+IF('Sprint Results'!$F$3=A21,7,0)+IF('Sprint Results'!$G$3=A21,6,0)+IF('Sprint Results'!$H$3=A21,5,0)+IF('Sprint Results'!$I$3=A21,4,0)+IF('Sprint Results'!$J$3=A21,3,0)+IF('Sprint Results'!$K$3=A21,2,0)+IF('Sprint Results'!$L$3=A21,1,0),0),0)+IFERROR(IF('Race Results'!$E$8=A21,25,0)+IF('Race Results'!$G$8=A21,18,0)+IF('Race Results'!$H$8=A21,15,0)+IF('Race Results'!$I$8=A21,12,0)+IF('Race Results'!$J$8=A21,10,0)+IF('Race Results'!$K$8=A21,8,0)+IF('Race Results'!$L$8=A21,6,0)+IF('Race Results'!$M$8=A21,4,0)+IF('Race Results'!$N$8=A21,2,0)+IF('Race Results'!$O$8=A21,1,0)+IF(AND('Race Results'!$Q$8=A21,'Race Results'!$R$8="Yes"),1,0)+IF('Sprint Results'!$E$4=A21,8,0)+IF('Sprint Results'!$F$4=A21,7,0)+IF('Sprint Results'!$G$4=A21,6,0)+IF('Sprint Results'!$H$4=A21,5,0)+IF('Sprint Results'!$I$4=A21,4,0)+IF('Sprint Results'!$J$4=A21,3,0)+IF('Sprint Results'!$K$4=A21,2,0)+IF('Sprint Results'!$L$4=A21,1,0),0),0)+IFERROR(IF('Race Results'!$E$9=A21,25,0)+IF('Race Results'!$G$9=A21,18,0)+IF('Race Results'!$H$9=A21,15,0)+IF('Race Results'!$I$9=A21,12,0)+IF('Race Results'!$J$9=A21,10,0)+IF('Race Results'!$K$9=A21,8,0)+IF('Race Results'!$L$9=A21,6,0)+IF('Race Results'!$M$9=A21,4,0)+IF('Race Results'!$N$9=A21,2,0)+IF('Race Results'!$O$9=A21,1,0)+IF(AND('Race Results'!$Q$9=A21,'Race Results'!$R$9="Yes"),1,0),0),0)+IFERROR(IF('Race Results'!$E$10=A21,25,0)+IF('Race Results'!$G$10=A21,18,0)+IF('Race Results'!$H$10=A21,15,0)+IF('Race Results'!$I$10=A21,12,0)+IF('Race Results'!$J$10=A21,10,0)+IF('Race Results'!$K$10=A21,8,0)+IF('Race Results'!$L$10=A21,6,0)+IF('Race Results'!$M$10=A21,4,0)+IF('Race Results'!$N$10=A21,2,0)+IF('Race Results'!$O$10=A21,1,0)+IF(AND('Race Results'!$Q$10=A21,'Race Results'!$R$10="Yes"),1,0),0),0)+IFERROR(IF('Race Results'!$E$11=A21,25,0)+IF('Race Results'!$G$11=A21,18,0)+IF('Race Results'!$H$11=A21,15,0)+IF('Race Results'!$I$11=A21,12,0)+IF('Race Results'!$J$11=A21,10,0)+IF('Race Results'!$K$11=A21,8,0)+IF('Race Results'!$L$11=A21,6,0)+IF('Race Results'!$M$11=A21,4,0)+IF('Race Results'!$N$11=A21,2,0)+IF('Race Results'!$O$11=A21,1,0)+IF(AND('Race Results'!$Q$11=A21,'Race Results'!$R$11="Yes"),1,0),0),0)+IFERROR(IF('Race Results'!$E$12=A21,25,0)+IF('Race Results'!$G$12=A21,18,0)+IF('Race Results'!$H$12=A21,15,0)+IF('Race Results'!$I$12=A21,12,0)+IF('Race Results'!$J$12=A21,10,0)+IF('Race Results'!$K$12=A21,8,0)+IF('Race Results'!$L$12=A21,6,0)+IF('Race Results'!$M$12=A21,4,0)+IF('Race Results'!$N$12=A21,2,0)+IF('Race Results'!$O$12=A21,1,0)+IF(AND('Race Results'!$Q$12=A21,'Race Results'!$R$12="Yes"),1,0),0),0)+IFERROR(IF('Race Results'!$E$13=A21,25,0)+IF('Race Results'!$G$13=A21,18,0)+IF('Race Results'!$H$13=A21,15,0)+IF('Race Results'!$I$13=A21,12,0)+IF('Race Results'!$J$13=A21,10,0)+IF('Race Results'!$K$13=A21,8,0)+IF('Race Results'!$L$13=A21,6,0)+IF('Race Results'!$M$13=A21,4,0)+IF('Race Results'!$N$13=A21,2,0)+IF('Race Results'!$O$13=A21,1,0)+IF(AND('Race Results'!$Q$13=A21,'Race Results'!$R$13="Yes"),1,0)+IF('Sprint Results'!$E$5=A21,8,0)+IF('Sprint Results'!$F$5=A21,7,0)+IF('Sprint Results'!$G$5=A21,6,0)+IF('Sprint Results'!$H$5=A21,5,0)+IF('Sprint Results'!$I$5=A21,4,0)+IF('Sprint Results'!$J$5=A21,3,0)+IF('Sprint Results'!$K$5=A21,2,0)+IF('Sprint Results'!$L$5=A21,1,0),0),0)+IFERROR(IF('Race Results'!$E$14=A21,25,0)+IF('Race Results'!$G$14=A21,18,0)+IF('Race Results'!$H$14=A21,15,0)+IF('Race Results'!$I$14=A21,12,0)+IF('Race Results'!$J$14=A21,10,0)+IF('Race Results'!$K$14=A21,8,0)+IF('Race Results'!$L$14=A21,6,0)+IF('Race Results'!$M$14=A21,4,0)+IF('Race Results'!$N$14=A21,2,0)+IF('Race Results'!$O$14=A21,1,0)+IF(AND('Race Results'!$Q$14=A21,'Race Results'!$R$14="Yes"),1,0),0),0)+IFERROR(IF('Race Results'!$E$15=A21,25,0)+IF('Race Results'!$G$15=A21,18,0)+IF('Race Results'!$H$15=A21,15,0)+IF('Race Results'!$I$15=A21,12,0)+IF('Race Results'!$J$15=A21,10,0)+IF('Race Results'!$K$15=A21,8,0)+IF('Race Results'!$L$15=A21,6,0)+IF('Race Results'!$M$15=A21,4,0)+IF('Race Results'!$N$15=A21,2,0)+IF('Race Results'!$O$15=A21,1,0)+IF(AND('Race Results'!$Q$15=A21,'Race Results'!$R$15="Yes"),1,0),0),0)+IFERROR(IF('Race Results'!$E$16=A21,25,0)+IF('Race Results'!$G$16=A21,18,0)+IF('Race Results'!$H$16=A21,15,0)+IF('Race Results'!$I$16=A21,12,0)+IF('Race Results'!$J$16=A21,10,0)+IF('Race Results'!$K$16=A21,8,0)+IF('Race Results'!$L$16=A21,6,0)+IF('Race Results'!$M$16=A21,4,0)+IF('Race Results'!$N$16=A21,2,0)+IF('Race Results'!$O$16=A21,1,0)+IF(AND('Race Results'!$Q$16=A21,'Race Results'!$R$16="Yes"),1,0)+IF('Sprint Results'!$E$6=A21,8,0)+IF('Sprint Results'!$F$6=A21,7,0)+IF('Sprint Results'!$G$6=A21,6,0)+IF('Sprint Results'!$H$6=A21,5,0)+IF('Sprint Results'!$I$6=A21,4,0)+IF('Sprint Results'!$J$6=A21,3,0)+IF('Sprint Results'!$K$6=A21,2,0)+IF('Sprint Results'!$L$6=A21,1,0),0),0)+IFERROR(IF('Race Results'!$E$17=A21,25,0)+IF('Race Results'!$G$17=A21,18,0)+IF('Race Results'!$H$17=A21,15,0)+IF('Race Results'!$I$17=A21,12,0)+IF('Race Results'!$J$17=A21,10,0)+IF('Race Results'!$K$17=A21,8,0)+IF('Race Results'!$L$17=A21,6,0)+IF('Race Results'!$M$17=A21,4,0)+IF('Race Results'!$N$17=A21,2,0)+IF('Race Results'!$O$17=A21,1,0)+IF(AND('Race Results'!$Q$17=A21,'Race Results'!$R$17="Yes"),1,0),0),0)</f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</row>
    <row r="45" customFormat="false" ht="14.25" hidden="false" customHeight="true" outlineLevel="0" collapsed="false">
      <c r="A45" s="1" t="s">
        <v>116</v>
      </c>
      <c r="B45" s="1" t="n">
        <f aca="false">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</f>
        <v>0</v>
      </c>
      <c r="C45" s="1" t="n">
        <f aca="false">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</f>
        <v>0</v>
      </c>
      <c r="D45" s="1" t="n">
        <f aca="false">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</f>
        <v>0</v>
      </c>
      <c r="E45" s="1" t="n">
        <f aca="false">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</f>
        <v>0</v>
      </c>
      <c r="F45" s="1" t="n">
        <f aca="false">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</f>
        <v>0</v>
      </c>
      <c r="G45" s="1" t="n">
        <f aca="false">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</f>
        <v>0</v>
      </c>
      <c r="H45" s="1" t="n">
        <f aca="false">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</f>
        <v>0</v>
      </c>
      <c r="I45" s="1" t="n">
        <f aca="false">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</f>
        <v>0</v>
      </c>
      <c r="J45" s="1" t="n">
        <f aca="false">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</f>
        <v>0</v>
      </c>
      <c r="K45" s="1" t="n">
        <f aca="false">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</f>
        <v>0</v>
      </c>
      <c r="L45" s="1" t="n">
        <f aca="false">IFERROR(IFERROR(IFERROR(IFERROR(IFERROR(IFERROR(IFERROR(IFERROR(IFERROR(IFERROR(IFERROR(IFERROR(IF('Race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Results'!$R$11="Yes"),1,0),0),0)+IFERROR(IF('Race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Results'!$R$12="Yes"),1,0),0),0)</f>
        <v>0</v>
      </c>
      <c r="M45" s="1" t="n">
        <f aca="false">IFERROR(IFERROR(IFERROR(IFERROR(IFERROR(IFERROR(IFERROR(IFERROR(IFERROR(IFERROR(IFERROR(IFERROR(IFERROR(IF('Race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Results'!$R$11="Yes"),1,0),0),0)+IFERROR(IF('Race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Results'!$R$12="Yes"),1,0),0),0)+IFERROR(IF('Race Results'!$E$13=A22,25,0)+IF('Race Results'!$G$13=A22,18,0)+IF('Race Results'!$H$13=A22,15,0)+IF('Race Results'!$I$13=A22,12,0)+IF('Race Results'!$J$13=A22,10,0)+IF('Race Results'!$K$13=A22,8,0)+IF('Race Results'!$L$13=A22,6,0)+IF('Race Results'!$M$13=A22,4,0)+IF('Race Results'!$N$13=A22,2,0)+IF('Race Results'!$O$13=A22,1,0)+IF(AND('Race Results'!$Q$13=A22,'Race Results'!$R$13="Yes"),1,0)+IF('Sprint Results'!$E$5=A22,8,0)+IF('Sprint Results'!$F$5=A22,7,0)+IF('Sprint Results'!$G$5=A22,6,0)+IF('Sprint Results'!$H$5=A22,5,0)+IF('Sprint Results'!$I$5=A22,4,0)+IF('Sprint Results'!$J$5=A22,3,0)+IF('Sprint Results'!$K$5=A22,2,0)+IF('Sprint Results'!$L$5=A22,1,0),0),0)</f>
        <v>0</v>
      </c>
      <c r="N45" s="1" t="n">
        <f aca="false">IFERROR(IFERROR(IFERROR(IFERROR(IFERROR(IFERROR(IFERROR(IFERROR(IFERROR(IFERROR(IFERROR(IFERROR(IFERROR(IFERROR(IF('Race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Results'!$R$11="Yes"),1,0),0),0)+IFERROR(IF('Race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Results'!$R$12="Yes"),1,0),0),0)+IFERROR(IF('Race Results'!$E$13=A22,25,0)+IF('Race Results'!$G$13=A22,18,0)+IF('Race Results'!$H$13=A22,15,0)+IF('Race Results'!$I$13=A22,12,0)+IF('Race Results'!$J$13=A22,10,0)+IF('Race Results'!$K$13=A22,8,0)+IF('Race Results'!$L$13=A22,6,0)+IF('Race Results'!$M$13=A22,4,0)+IF('Race Results'!$N$13=A22,2,0)+IF('Race Results'!$O$13=A22,1,0)+IF(AND('Race Results'!$Q$13=A22,'Race Results'!$R$13="Yes"),1,0)+IF('Sprint Results'!$E$5=A22,8,0)+IF('Sprint Results'!$F$5=A22,7,0)+IF('Sprint Results'!$G$5=A22,6,0)+IF('Sprint Results'!$H$5=A22,5,0)+IF('Sprint Results'!$I$5=A22,4,0)+IF('Sprint Results'!$J$5=A22,3,0)+IF('Sprint Results'!$K$5=A22,2,0)+IF('Sprint Results'!$L$5=A22,1,0),0),0)+IFERROR(IF('Race Results'!$E$14=A22,25,0)+IF('Race Results'!$G$14=A22,18,0)+IF('Race Results'!$H$14=A22,15,0)+IF('Race Results'!$I$14=A22,12,0)+IF('Race Results'!$J$14=A22,10,0)+IF('Race Results'!$K$14=A22,8,0)+IF('Race Results'!$L$14=A22,6,0)+IF('Race Results'!$M$14=A22,4,0)+IF('Race Results'!$N$14=A22,2,0)+IF('Race Results'!$O$14=A22,1,0)+IF(AND('Race Results'!$Q$14=A22,'Race Results'!$R$14="Yes"),1,0),0),0)</f>
        <v>0</v>
      </c>
      <c r="O45" s="1" t="n">
        <f aca="false">IFERROR(IFERROR(IFERROR(IFERROR(IFERROR(IFERROR(IFERROR(IFERROR(IFERROR(IFERROR(IFERROR(IFERROR(IFERROR(IFERROR(IFERROR(IF('Race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Results'!$R$11="Yes"),1,0),0),0)+IFERROR(IF('Race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Results'!$R$12="Yes"),1,0),0),0)+IFERROR(IF('Race Results'!$E$13=A22,25,0)+IF('Race Results'!$G$13=A22,18,0)+IF('Race Results'!$H$13=A22,15,0)+IF('Race Results'!$I$13=A22,12,0)+IF('Race Results'!$J$13=A22,10,0)+IF('Race Results'!$K$13=A22,8,0)+IF('Race Results'!$L$13=A22,6,0)+IF('Race Results'!$M$13=A22,4,0)+IF('Race Results'!$N$13=A22,2,0)+IF('Race Results'!$O$13=A22,1,0)+IF(AND('Race Results'!$Q$13=A22,'Race Results'!$R$13="Yes"),1,0)+IF('Sprint Results'!$E$5=A22,8,0)+IF('Sprint Results'!$F$5=A22,7,0)+IF('Sprint Results'!$G$5=A22,6,0)+IF('Sprint Results'!$H$5=A22,5,0)+IF('Sprint Results'!$I$5=A22,4,0)+IF('Sprint Results'!$J$5=A22,3,0)+IF('Sprint Results'!$K$5=A22,2,0)+IF('Sprint Results'!$L$5=A22,1,0),0),0)+IFERROR(IF('Race Results'!$E$14=A22,25,0)+IF('Race Results'!$G$14=A22,18,0)+IF('Race Results'!$H$14=A22,15,0)+IF('Race Results'!$I$14=A22,12,0)+IF('Race Results'!$J$14=A22,10,0)+IF('Race Results'!$K$14=A22,8,0)+IF('Race Results'!$L$14=A22,6,0)+IF('Race Results'!$M$14=A22,4,0)+IF('Race Results'!$N$14=A22,2,0)+IF('Race Results'!$O$14=A22,1,0)+IF(AND('Race Results'!$Q$14=A22,'Race Results'!$R$14="Yes"),1,0),0),0)+IFERROR(IF('Race Results'!$E$15=A22,25,0)+IF('Race Results'!$G$15=A22,18,0)+IF('Race Results'!$H$15=A22,15,0)+IF('Race Results'!$I$15=A22,12,0)+IF('Race Results'!$J$15=A22,10,0)+IF('Race Results'!$K$15=A22,8,0)+IF('Race Results'!$L$15=A22,6,0)+IF('Race Results'!$M$15=A22,4,0)+IF('Race Results'!$N$15=A22,2,0)+IF('Race Results'!$O$15=A22,1,0)+IF(AND('Race Results'!$Q$15=A22,'Race Results'!$R$15="Yes"),1,0),0),0)</f>
        <v>0</v>
      </c>
      <c r="P45" s="1" t="n">
        <f aca="false">IFERROR(IFERROR(IFERROR(IFERROR(IFERROR(IFERROR(IFERROR(IFERROR(IFERROR(IFERROR(IFERROR(IFERROR(IFERROR(IFERROR(IFERROR(IFERROR(IF('Race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Results'!$R$11="Yes"),1,0),0),0)+IFERROR(IF('Race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Results'!$R$12="Yes"),1,0),0),0)+IFERROR(IF('Race Results'!$E$13=A22,25,0)+IF('Race Results'!$G$13=A22,18,0)+IF('Race Results'!$H$13=A22,15,0)+IF('Race Results'!$I$13=A22,12,0)+IF('Race Results'!$J$13=A22,10,0)+IF('Race Results'!$K$13=A22,8,0)+IF('Race Results'!$L$13=A22,6,0)+IF('Race Results'!$M$13=A22,4,0)+IF('Race Results'!$N$13=A22,2,0)+IF('Race Results'!$O$13=A22,1,0)+IF(AND('Race Results'!$Q$13=A22,'Race Results'!$R$13="Yes"),1,0)+IF('Sprint Results'!$E$5=A22,8,0)+IF('Sprint Results'!$F$5=A22,7,0)+IF('Sprint Results'!$G$5=A22,6,0)+IF('Sprint Results'!$H$5=A22,5,0)+IF('Sprint Results'!$I$5=A22,4,0)+IF('Sprint Results'!$J$5=A22,3,0)+IF('Sprint Results'!$K$5=A22,2,0)+IF('Sprint Results'!$L$5=A22,1,0),0),0)+IFERROR(IF('Race Results'!$E$14=A22,25,0)+IF('Race Results'!$G$14=A22,18,0)+IF('Race Results'!$H$14=A22,15,0)+IF('Race Results'!$I$14=A22,12,0)+IF('Race Results'!$J$14=A22,10,0)+IF('Race Results'!$K$14=A22,8,0)+IF('Race Results'!$L$14=A22,6,0)+IF('Race Results'!$M$14=A22,4,0)+IF('Race Results'!$N$14=A22,2,0)+IF('Race Results'!$O$14=A22,1,0)+IF(AND('Race Results'!$Q$14=A22,'Race Results'!$R$14="Yes"),1,0),0),0)+IFERROR(IF('Race Results'!$E$15=A22,25,0)+IF('Race Results'!$G$15=A22,18,0)+IF('Race Results'!$H$15=A22,15,0)+IF('Race Results'!$I$15=A22,12,0)+IF('Race Results'!$J$15=A22,10,0)+IF('Race Results'!$K$15=A22,8,0)+IF('Race Results'!$L$15=A22,6,0)+IF('Race Results'!$M$15=A22,4,0)+IF('Race Results'!$N$15=A22,2,0)+IF('Race Results'!$O$15=A22,1,0)+IF(AND('Race Results'!$Q$15=A22,'Race Results'!$R$15="Yes"),1,0),0),0)+IFERROR(IF('Race Results'!$E$16=A22,25,0)+IF('Race Results'!$G$16=A22,18,0)+IF('Race Results'!$H$16=A22,15,0)+IF('Race Results'!$I$16=A22,12,0)+IF('Race Results'!$J$16=A22,10,0)+IF('Race Results'!$K$16=A22,8,0)+IF('Race Results'!$L$16=A22,6,0)+IF('Race Results'!$M$16=A22,4,0)+IF('Race Results'!$N$16=A22,2,0)+IF('Race Results'!$O$16=A22,1,0)+IF(AND('Race Results'!$Q$16=A22,'Race Results'!$R$16="Yes"),1,0)+IF('Sprint Results'!$E$6=A22,8,0)+IF('Sprint Results'!$F$6=A22,7,0)+IF('Sprint Results'!$G$6=A22,6,0)+IF('Sprint Results'!$H$6=A22,5,0)+IF('Sprint Results'!$I$6=A22,4,0)+IF('Sprint Results'!$J$6=A22,3,0)+IF('Sprint Results'!$K$6=A22,2,0)+IF('Sprint Results'!$L$6=A22,1,0),0),0)</f>
        <v>0</v>
      </c>
      <c r="Q45" s="1" t="n">
        <f aca="false">IFERROR(IFERROR(IFERROR(IFERROR(IFERROR(IFERROR(IFERROR(IFERROR(IFERROR(IFERROR(IFERROR(IFERROR(IFERROR(IFERROR(IFERROR(IFERROR(IFERROR(IF('Race Results'!$E$2=A22,25,0)+IF('Race Results'!$G$2=A22,18,0)+IF('Race Results'!$H$2=A22,15,0)+IF('Race Results'!$I$2=A22,12,0)+IF('Race Results'!$J$2=A22,10,0)+IF('Race Results'!$K$2=A22,8,0)+IF('Race Results'!$L$2=A22,6,0)+IF('Race Results'!$M$2=A22,4,0)+IF('Race Results'!$N$2=A22,2,0)+IF('Race Results'!$O$2=A22,1,0)+IF(AND('Race Results'!$Q$2=A22,'Race Results'!$R$2="Yes"),1,0),0),0)+IFERROR(IF('Race Results'!$E$3=A22,25,0)+IF('Race Results'!$G$3=A22,18,0)+IF('Race Results'!$H$3=A22,15,0)+IF('Race Results'!$I$3=A22,12,0)+IF('Race Results'!$J$3=A22,10,0)+IF('Race Results'!$K$3=A22,8,0)+IF('Race Results'!$L$3=A22,6,0)+IF('Race Results'!$M$3=A22,4,0)+IF('Race Results'!$N$3=A22,2,0)+IF('Race Results'!$O$3=A22,1,0)+IF(AND('Race Results'!$Q$3=A22,'Race Results'!$R$3="Yes"),1,0)+IF('Sprint Results'!$E$2=A22,8,0)+IF('Sprint Results'!$F$2=A22,7,0)+IF('Sprint Results'!$G$2=A22,6,0)+IF('Sprint Results'!$H$2=A22,5,0)+IF('Sprint Results'!$I$2=A22,4,0)+IF('Sprint Results'!$J$2=A22,3,0)+IF('Sprint Results'!$K$2=A22,2,0)+IF('Sprint Results'!$L$2=A22,1,0),0),0)+IFERROR(IF('Race Results'!$E$4=A22,25,0)+IF('Race Results'!$G$4=A22,18,0)+IF('Race Results'!$H$4=A22,15,0)+IF('Race Results'!$I$4=A22,12,0)+IF('Race Results'!$J$4=A22,10,0)+IF('Race Results'!$K$4=A22,8,0)+IF('Race Results'!$L$4=A22,6,0)+IF('Race Results'!$M$4=A22,4,0)+IF('Race Results'!$N$4=A22,2,0)+IF('Race Results'!$O$4=A22,1,0)+IF(AND('Race Results'!$Q$4=A22,'Race Results'!$R$4="Yes"),1,0),0),0)+IFERROR(IF('Race Results'!$E$5=A22,25,0)+IF('Race Results'!$G$5=A22,18,0)+IF('Race Results'!$H$5=A22,15,0)+IF('Race Results'!$I$5=A22,12,0)+IF('Race Results'!$J$5=A22,10,0)+IF('Race Results'!$K$5=A22,8,0)+IF('Race Results'!$L$5=A22,6,0)+IF('Race Results'!$M$5=A22,4,0)+IF('Race Results'!$N$5=A22,2,0)+IF('Race Results'!$O$5=A22,1,0)+IF(AND('Race Results'!$Q$5=A22,'Race Results'!$R$5="Yes"),1,0),0),0)+IFERROR(IF('Race Results'!$E$6=A22,25,0)+IF('Race Results'!$G$6=A22,18,0)+IF('Race Results'!$H$6=A22,15,0)+IF('Race Results'!$I$6=A22,12,0)+IF('Race Results'!$J$6=A22,10,0)+IF('Race Results'!$K$6=A22,8,0)+IF('Race Results'!$L$6=A22,6,0)+IF('Race Results'!$M$6=A22,4,0)+IF('Race Results'!$N$6=A22,2,0)+IF('Race Results'!$O$6=A22,1,0)+IF(AND('Race Results'!$Q$6=A22,'Race Results'!$R$6="Yes"),1,0),0),0)+IFERROR(IF('Race Results'!$E$7=A22,25,0)+IF('Race Results'!$G$7=A22,18,0)+IF('Race Results'!$H$7=A22,15,0)+IF('Race Results'!$I$7=A22,12,0)+IF('Race Results'!$J$7=A22,10,0)+IF('Race Results'!$K$7=A22,8,0)+IF('Race Results'!$L$7=A22,6,0)+IF('Race Results'!$M$7=A22,4,0)+IF('Race Results'!$N$7=A22,2,0)+IF('Race Results'!$O$7=A22,1,0)+IF(AND('Race Results'!$Q$7=A22,'Race Results'!$R$7="Yes"),1,0)+IF('Sprint Results'!$E$3=A22,8,0)+IF('Sprint Results'!$F$3=A22,7,0)+IF('Sprint Results'!$G$3=A22,6,0)+IF('Sprint Results'!$H$3=A22,5,0)+IF('Sprint Results'!$I$3=A22,4,0)+IF('Sprint Results'!$J$3=A22,3,0)+IF('Sprint Results'!$K$3=A22,2,0)+IF('Sprint Results'!$L$3=A22,1,0),0),0)+IFERROR(IF('Race Results'!$E$8=A22,25,0)+IF('Race Results'!$G$8=A22,18,0)+IF('Race Results'!$H$8=A22,15,0)+IF('Race Results'!$I$8=A22,12,0)+IF('Race Results'!$J$8=A22,10,0)+IF('Race Results'!$K$8=A22,8,0)+IF('Race Results'!$L$8=A22,6,0)+IF('Race Results'!$M$8=A22,4,0)+IF('Race Results'!$N$8=A22,2,0)+IF('Race Results'!$O$8=A22,1,0)+IF(AND('Race Results'!$Q$8=A22,'Race Results'!$R$8="Yes"),1,0)+IF('Sprint Results'!$E$4=A22,8,0)+IF('Sprint Results'!$F$4=A22,7,0)+IF('Sprint Results'!$G$4=A22,6,0)+IF('Sprint Results'!$H$4=A22,5,0)+IF('Sprint Results'!$I$4=A22,4,0)+IF('Sprint Results'!$J$4=A22,3,0)+IF('Sprint Results'!$K$4=A22,2,0)+IF('Sprint Results'!$L$4=A22,1,0),0),0)+IFERROR(IF('Race Results'!$E$9=A22,25,0)+IF('Race Results'!$G$9=A22,18,0)+IF('Race Results'!$H$9=A22,15,0)+IF('Race Results'!$I$9=A22,12,0)+IF('Race Results'!$J$9=A22,10,0)+IF('Race Results'!$K$9=A22,8,0)+IF('Race Results'!$L$9=A22,6,0)+IF('Race Results'!$M$9=A22,4,0)+IF('Race Results'!$N$9=A22,2,0)+IF('Race Results'!$O$9=A22,1,0)+IF(AND('Race Results'!$Q$9=A22,'Race Results'!$R$9="Yes"),1,0),0),0)+IFERROR(IF('Race Results'!$E$10=A22,25,0)+IF('Race Results'!$G$10=A22,18,0)+IF('Race Results'!$H$10=A22,15,0)+IF('Race Results'!$I$10=A22,12,0)+IF('Race Results'!$J$10=A22,10,0)+IF('Race Results'!$K$10=A22,8,0)+IF('Race Results'!$L$10=A22,6,0)+IF('Race Results'!$M$10=A22,4,0)+IF('Race Results'!$N$10=A22,2,0)+IF('Race Results'!$O$10=A22,1,0)+IF(AND('Race Results'!$Q$10=A22,'Race Results'!$R$10="Yes"),1,0),0),0)+IFERROR(IF('Race Results'!$E$11=A22,25,0)+IF('Race Results'!$G$11=A22,18,0)+IF('Race Results'!$H$11=A22,15,0)+IF('Race Results'!$I$11=A22,12,0)+IF('Race Results'!$J$11=A22,10,0)+IF('Race Results'!$K$11=A22,8,0)+IF('Race Results'!$L$11=A22,6,0)+IF('Race Results'!$M$11=A22,4,0)+IF('Race Results'!$N$11=A22,2,0)+IF('Race Results'!$O$11=A22,1,0)+IF(AND('Race Results'!$Q$11=A22,'Race Results'!$R$11="Yes"),1,0),0),0)+IFERROR(IF('Race Results'!$E$12=A22,25,0)+IF('Race Results'!$G$12=A22,18,0)+IF('Race Results'!$H$12=A22,15,0)+IF('Race Results'!$I$12=A22,12,0)+IF('Race Results'!$J$12=A22,10,0)+IF('Race Results'!$K$12=A22,8,0)+IF('Race Results'!$L$12=A22,6,0)+IF('Race Results'!$M$12=A22,4,0)+IF('Race Results'!$N$12=A22,2,0)+IF('Race Results'!$O$12=A22,1,0)+IF(AND('Race Results'!$Q$12=A22,'Race Results'!$R$12="Yes"),1,0),0),0)+IFERROR(IF('Race Results'!$E$13=A22,25,0)+IF('Race Results'!$G$13=A22,18,0)+IF('Race Results'!$H$13=A22,15,0)+IF('Race Results'!$I$13=A22,12,0)+IF('Race Results'!$J$13=A22,10,0)+IF('Race Results'!$K$13=A22,8,0)+IF('Race Results'!$L$13=A22,6,0)+IF('Race Results'!$M$13=A22,4,0)+IF('Race Results'!$N$13=A22,2,0)+IF('Race Results'!$O$13=A22,1,0)+IF(AND('Race Results'!$Q$13=A22,'Race Results'!$R$13="Yes"),1,0)+IF('Sprint Results'!$E$5=A22,8,0)+IF('Sprint Results'!$F$5=A22,7,0)+IF('Sprint Results'!$G$5=A22,6,0)+IF('Sprint Results'!$H$5=A22,5,0)+IF('Sprint Results'!$I$5=A22,4,0)+IF('Sprint Results'!$J$5=A22,3,0)+IF('Sprint Results'!$K$5=A22,2,0)+IF('Sprint Results'!$L$5=A22,1,0),0),0)+IFERROR(IF('Race Results'!$E$14=A22,25,0)+IF('Race Results'!$G$14=A22,18,0)+IF('Race Results'!$H$14=A22,15,0)+IF('Race Results'!$I$14=A22,12,0)+IF('Race Results'!$J$14=A22,10,0)+IF('Race Results'!$K$14=A22,8,0)+IF('Race Results'!$L$14=A22,6,0)+IF('Race Results'!$M$14=A22,4,0)+IF('Race Results'!$N$14=A22,2,0)+IF('Race Results'!$O$14=A22,1,0)+IF(AND('Race Results'!$Q$14=A22,'Race Results'!$R$14="Yes"),1,0),0),0)+IFERROR(IF('Race Results'!$E$15=A22,25,0)+IF('Race Results'!$G$15=A22,18,0)+IF('Race Results'!$H$15=A22,15,0)+IF('Race Results'!$I$15=A22,12,0)+IF('Race Results'!$J$15=A22,10,0)+IF('Race Results'!$K$15=A22,8,0)+IF('Race Results'!$L$15=A22,6,0)+IF('Race Results'!$M$15=A22,4,0)+IF('Race Results'!$N$15=A22,2,0)+IF('Race Results'!$O$15=A22,1,0)+IF(AND('Race Results'!$Q$15=A22,'Race Results'!$R$15="Yes"),1,0),0),0)+IFERROR(IF('Race Results'!$E$16=A22,25,0)+IF('Race Results'!$G$16=A22,18,0)+IF('Race Results'!$H$16=A22,15,0)+IF('Race Results'!$I$16=A22,12,0)+IF('Race Results'!$J$16=A22,10,0)+IF('Race Results'!$K$16=A22,8,0)+IF('Race Results'!$L$16=A22,6,0)+IF('Race Results'!$M$16=A22,4,0)+IF('Race Results'!$N$16=A22,2,0)+IF('Race Results'!$O$16=A22,1,0)+IF(AND('Race Results'!$Q$16=A22,'Race Results'!$R$16="Yes"),1,0)+IF('Sprint Results'!$E$6=A22,8,0)+IF('Sprint Results'!$F$6=A22,7,0)+IF('Sprint Results'!$G$6=A22,6,0)+IF('Sprint Results'!$H$6=A22,5,0)+IF('Sprint Results'!$I$6=A22,4,0)+IF('Sprint Results'!$J$6=A22,3,0)+IF('Sprint Results'!$K$6=A22,2,0)+IF('Sprint Results'!$L$6=A22,1,0),0),0)+IFERROR(IF('Race Results'!$E$17=A22,25,0)+IF('Race Results'!$G$17=A22,18,0)+IF('Race Results'!$H$17=A22,15,0)+IF('Race Results'!$I$17=A22,12,0)+IF('Race Results'!$J$17=A22,10,0)+IF('Race Results'!$K$17=A22,8,0)+IF('Race Results'!$L$17=A22,6,0)+IF('Race Results'!$M$17=A22,4,0)+IF('Race Results'!$N$17=A22,2,0)+IF('Race Results'!$O$17=A22,1,0)+IF(AND('Race Results'!$Q$17=A22,'Race Results'!$R$17="Yes"),1,0),0),0)</f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</row>
    <row r="46" customFormat="false" ht="14.25" hidden="false" customHeight="true" outlineLevel="0" collapsed="false">
      <c r="A46" s="1" t="s">
        <v>118</v>
      </c>
      <c r="B46" s="1" t="n">
        <f aca="false">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</f>
        <v>0</v>
      </c>
      <c r="C46" s="1" t="n">
        <f aca="false">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</f>
        <v>0</v>
      </c>
      <c r="D46" s="1" t="n">
        <f aca="false">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</f>
        <v>0</v>
      </c>
      <c r="E46" s="1" t="n">
        <f aca="false">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</f>
        <v>0</v>
      </c>
      <c r="F46" s="1" t="n">
        <f aca="false">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</f>
        <v>0</v>
      </c>
      <c r="G46" s="1" t="n">
        <f aca="false">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</f>
        <v>0</v>
      </c>
      <c r="H46" s="1" t="n">
        <f aca="false">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</f>
        <v>0</v>
      </c>
      <c r="I46" s="1" t="n">
        <f aca="false">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</f>
        <v>0</v>
      </c>
      <c r="J46" s="1" t="n">
        <f aca="false">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</f>
        <v>0</v>
      </c>
      <c r="K46" s="1" t="n">
        <f aca="false">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</f>
        <v>0</v>
      </c>
      <c r="L46" s="1" t="n">
        <f aca="false">IFERROR(IFERROR(IFERROR(IFERROR(IFERROR(IFERROR(IFERROR(IFERROR(IFERROR(IFERROR(IFERROR(IFERROR(IF('Race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Results'!$R$11="Yes"),1,0),0),0)+IFERROR(IF('Race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Results'!$R$12="Yes"),1,0),0),0)</f>
        <v>0</v>
      </c>
      <c r="M46" s="1" t="n">
        <f aca="false">IFERROR(IFERROR(IFERROR(IFERROR(IFERROR(IFERROR(IFERROR(IFERROR(IFERROR(IFERROR(IFERROR(IFERROR(IFERROR(IF('Race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Results'!$R$11="Yes"),1,0),0),0)+IFERROR(IF('Race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Results'!$R$12="Yes"),1,0),0),0)+IFERROR(IF('Race Results'!$E$13=A23,25,0)+IF('Race Results'!$G$13=A23,18,0)+IF('Race Results'!$H$13=A23,15,0)+IF('Race Results'!$I$13=A23,12,0)+IF('Race Results'!$J$13=A23,10,0)+IF('Race Results'!$K$13=A23,8,0)+IF('Race Results'!$L$13=A23,6,0)+IF('Race Results'!$M$13=A23,4,0)+IF('Race Results'!$N$13=A23,2,0)+IF('Race Results'!$O$13=A23,1,0)+IF(AND('Race Results'!$Q$13=A23,'Race Results'!$R$13="Yes"),1,0)+IF('Sprint Results'!$E$5=A23,8,0)+IF('Sprint Results'!$F$5=A23,7,0)+IF('Sprint Results'!$G$5=A23,6,0)+IF('Sprint Results'!$H$5=A23,5,0)+IF('Sprint Results'!$I$5=A23,4,0)+IF('Sprint Results'!$J$5=A23,3,0)+IF('Sprint Results'!$K$5=A23,2,0)+IF('Sprint Results'!$L$5=A23,1,0),0),0)</f>
        <v>0</v>
      </c>
      <c r="N46" s="1" t="n">
        <f aca="false">IFERROR(IFERROR(IFERROR(IFERROR(IFERROR(IFERROR(IFERROR(IFERROR(IFERROR(IFERROR(IFERROR(IFERROR(IFERROR(IFERROR(IF('Race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Results'!$R$11="Yes"),1,0),0),0)+IFERROR(IF('Race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Results'!$R$12="Yes"),1,0),0),0)+IFERROR(IF('Race Results'!$E$13=A23,25,0)+IF('Race Results'!$G$13=A23,18,0)+IF('Race Results'!$H$13=A23,15,0)+IF('Race Results'!$I$13=A23,12,0)+IF('Race Results'!$J$13=A23,10,0)+IF('Race Results'!$K$13=A23,8,0)+IF('Race Results'!$L$13=A23,6,0)+IF('Race Results'!$M$13=A23,4,0)+IF('Race Results'!$N$13=A23,2,0)+IF('Race Results'!$O$13=A23,1,0)+IF(AND('Race Results'!$Q$13=A23,'Race Results'!$R$13="Yes"),1,0)+IF('Sprint Results'!$E$5=A23,8,0)+IF('Sprint Results'!$F$5=A23,7,0)+IF('Sprint Results'!$G$5=A23,6,0)+IF('Sprint Results'!$H$5=A23,5,0)+IF('Sprint Results'!$I$5=A23,4,0)+IF('Sprint Results'!$J$5=A23,3,0)+IF('Sprint Results'!$K$5=A23,2,0)+IF('Sprint Results'!$L$5=A23,1,0),0),0)+IFERROR(IF('Race Results'!$E$14=A23,25,0)+IF('Race Results'!$G$14=A23,18,0)+IF('Race Results'!$H$14=A23,15,0)+IF('Race Results'!$I$14=A23,12,0)+IF('Race Results'!$J$14=A23,10,0)+IF('Race Results'!$K$14=A23,8,0)+IF('Race Results'!$L$14=A23,6,0)+IF('Race Results'!$M$14=A23,4,0)+IF('Race Results'!$N$14=A23,2,0)+IF('Race Results'!$O$14=A23,1,0)+IF(AND('Race Results'!$Q$14=A23,'Race Results'!$R$14="Yes"),1,0),0),0)</f>
        <v>0</v>
      </c>
      <c r="O46" s="1" t="n">
        <f aca="false">IFERROR(IFERROR(IFERROR(IFERROR(IFERROR(IFERROR(IFERROR(IFERROR(IFERROR(IFERROR(IFERROR(IFERROR(IFERROR(IFERROR(IFERROR(IF('Race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Results'!$R$11="Yes"),1,0),0),0)+IFERROR(IF('Race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Results'!$R$12="Yes"),1,0),0),0)+IFERROR(IF('Race Results'!$E$13=A23,25,0)+IF('Race Results'!$G$13=A23,18,0)+IF('Race Results'!$H$13=A23,15,0)+IF('Race Results'!$I$13=A23,12,0)+IF('Race Results'!$J$13=A23,10,0)+IF('Race Results'!$K$13=A23,8,0)+IF('Race Results'!$L$13=A23,6,0)+IF('Race Results'!$M$13=A23,4,0)+IF('Race Results'!$N$13=A23,2,0)+IF('Race Results'!$O$13=A23,1,0)+IF(AND('Race Results'!$Q$13=A23,'Race Results'!$R$13="Yes"),1,0)+IF('Sprint Results'!$E$5=A23,8,0)+IF('Sprint Results'!$F$5=A23,7,0)+IF('Sprint Results'!$G$5=A23,6,0)+IF('Sprint Results'!$H$5=A23,5,0)+IF('Sprint Results'!$I$5=A23,4,0)+IF('Sprint Results'!$J$5=A23,3,0)+IF('Sprint Results'!$K$5=A23,2,0)+IF('Sprint Results'!$L$5=A23,1,0),0),0)+IFERROR(IF('Race Results'!$E$14=A23,25,0)+IF('Race Results'!$G$14=A23,18,0)+IF('Race Results'!$H$14=A23,15,0)+IF('Race Results'!$I$14=A23,12,0)+IF('Race Results'!$J$14=A23,10,0)+IF('Race Results'!$K$14=A23,8,0)+IF('Race Results'!$L$14=A23,6,0)+IF('Race Results'!$M$14=A23,4,0)+IF('Race Results'!$N$14=A23,2,0)+IF('Race Results'!$O$14=A23,1,0)+IF(AND('Race Results'!$Q$14=A23,'Race Results'!$R$14="Yes"),1,0),0),0)+IFERROR(IF('Race Results'!$E$15=A23,25,0)+IF('Race Results'!$G$15=A23,18,0)+IF('Race Results'!$H$15=A23,15,0)+IF('Race Results'!$I$15=A23,12,0)+IF('Race Results'!$J$15=A23,10,0)+IF('Race Results'!$K$15=A23,8,0)+IF('Race Results'!$L$15=A23,6,0)+IF('Race Results'!$M$15=A23,4,0)+IF('Race Results'!$N$15=A23,2,0)+IF('Race Results'!$O$15=A23,1,0)+IF(AND('Race Results'!$Q$15=A23,'Race Results'!$R$15="Yes"),1,0),0),0)</f>
        <v>0</v>
      </c>
      <c r="P46" s="1" t="n">
        <f aca="false">IFERROR(IFERROR(IFERROR(IFERROR(IFERROR(IFERROR(IFERROR(IFERROR(IFERROR(IFERROR(IFERROR(IFERROR(IFERROR(IFERROR(IFERROR(IFERROR(IF('Race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Results'!$R$11="Yes"),1,0),0),0)+IFERROR(IF('Race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Results'!$R$12="Yes"),1,0),0),0)+IFERROR(IF('Race Results'!$E$13=A23,25,0)+IF('Race Results'!$G$13=A23,18,0)+IF('Race Results'!$H$13=A23,15,0)+IF('Race Results'!$I$13=A23,12,0)+IF('Race Results'!$J$13=A23,10,0)+IF('Race Results'!$K$13=A23,8,0)+IF('Race Results'!$L$13=A23,6,0)+IF('Race Results'!$M$13=A23,4,0)+IF('Race Results'!$N$13=A23,2,0)+IF('Race Results'!$O$13=A23,1,0)+IF(AND('Race Results'!$Q$13=A23,'Race Results'!$R$13="Yes"),1,0)+IF('Sprint Results'!$E$5=A23,8,0)+IF('Sprint Results'!$F$5=A23,7,0)+IF('Sprint Results'!$G$5=A23,6,0)+IF('Sprint Results'!$H$5=A23,5,0)+IF('Sprint Results'!$I$5=A23,4,0)+IF('Sprint Results'!$J$5=A23,3,0)+IF('Sprint Results'!$K$5=A23,2,0)+IF('Sprint Results'!$L$5=A23,1,0),0),0)+IFERROR(IF('Race Results'!$E$14=A23,25,0)+IF('Race Results'!$G$14=A23,18,0)+IF('Race Results'!$H$14=A23,15,0)+IF('Race Results'!$I$14=A23,12,0)+IF('Race Results'!$J$14=A23,10,0)+IF('Race Results'!$K$14=A23,8,0)+IF('Race Results'!$L$14=A23,6,0)+IF('Race Results'!$M$14=A23,4,0)+IF('Race Results'!$N$14=A23,2,0)+IF('Race Results'!$O$14=A23,1,0)+IF(AND('Race Results'!$Q$14=A23,'Race Results'!$R$14="Yes"),1,0),0),0)+IFERROR(IF('Race Results'!$E$15=A23,25,0)+IF('Race Results'!$G$15=A23,18,0)+IF('Race Results'!$H$15=A23,15,0)+IF('Race Results'!$I$15=A23,12,0)+IF('Race Results'!$J$15=A23,10,0)+IF('Race Results'!$K$15=A23,8,0)+IF('Race Results'!$L$15=A23,6,0)+IF('Race Results'!$M$15=A23,4,0)+IF('Race Results'!$N$15=A23,2,0)+IF('Race Results'!$O$15=A23,1,0)+IF(AND('Race Results'!$Q$15=A23,'Race Results'!$R$15="Yes"),1,0),0),0)+IFERROR(IF('Race Results'!$E$16=A23,25,0)+IF('Race Results'!$G$16=A23,18,0)+IF('Race Results'!$H$16=A23,15,0)+IF('Race Results'!$I$16=A23,12,0)+IF('Race Results'!$J$16=A23,10,0)+IF('Race Results'!$K$16=A23,8,0)+IF('Race Results'!$L$16=A23,6,0)+IF('Race Results'!$M$16=A23,4,0)+IF('Race Results'!$N$16=A23,2,0)+IF('Race Results'!$O$16=A23,1,0)+IF(AND('Race Results'!$Q$16=A23,'Race Results'!$R$16="Yes"),1,0)+IF('Sprint Results'!$E$6=A23,8,0)+IF('Sprint Results'!$F$6=A23,7,0)+IF('Sprint Results'!$G$6=A23,6,0)+IF('Sprint Results'!$H$6=A23,5,0)+IF('Sprint Results'!$I$6=A23,4,0)+IF('Sprint Results'!$J$6=A23,3,0)+IF('Sprint Results'!$K$6=A23,2,0)+IF('Sprint Results'!$L$6=A23,1,0),0),0)</f>
        <v>0</v>
      </c>
      <c r="Q46" s="1" t="n">
        <f aca="false">IFERROR(IFERROR(IFERROR(IFERROR(IFERROR(IFERROR(IFERROR(IFERROR(IFERROR(IFERROR(IFERROR(IFERROR(IFERROR(IFERROR(IFERROR(IFERROR(IFERROR(IF('Race Results'!$E$2=A23,25,0)+IF('Race Results'!$G$2=A23,18,0)+IF('Race Results'!$H$2=A23,15,0)+IF('Race Results'!$I$2=A23,12,0)+IF('Race Results'!$J$2=A23,10,0)+IF('Race Results'!$K$2=A23,8,0)+IF('Race Results'!$L$2=A23,6,0)+IF('Race Results'!$M$2=A23,4,0)+IF('Race Results'!$N$2=A23,2,0)+IF('Race Results'!$O$2=A23,1,0)+IF(AND('Race Results'!$Q$2=A23,'Race Results'!$R$2="Yes"),1,0),0),0)+IFERROR(IF('Race Results'!$E$3=A23,25,0)+IF('Race Results'!$G$3=A23,18,0)+IF('Race Results'!$H$3=A23,15,0)+IF('Race Results'!$I$3=A23,12,0)+IF('Race Results'!$J$3=A23,10,0)+IF('Race Results'!$K$3=A23,8,0)+IF('Race Results'!$L$3=A23,6,0)+IF('Race Results'!$M$3=A23,4,0)+IF('Race Results'!$N$3=A23,2,0)+IF('Race Results'!$O$3=A23,1,0)+IF(AND('Race Results'!$Q$3=A23,'Race Results'!$R$3="Yes"),1,0)+IF('Sprint Results'!$E$2=A23,8,0)+IF('Sprint Results'!$F$2=A23,7,0)+IF('Sprint Results'!$G$2=A23,6,0)+IF('Sprint Results'!$H$2=A23,5,0)+IF('Sprint Results'!$I$2=A23,4,0)+IF('Sprint Results'!$J$2=A23,3,0)+IF('Sprint Results'!$K$2=A23,2,0)+IF('Sprint Results'!$L$2=A23,1,0),0),0)+IFERROR(IF('Race Results'!$E$4=A23,25,0)+IF('Race Results'!$G$4=A23,18,0)+IF('Race Results'!$H$4=A23,15,0)+IF('Race Results'!$I$4=A23,12,0)+IF('Race Results'!$J$4=A23,10,0)+IF('Race Results'!$K$4=A23,8,0)+IF('Race Results'!$L$4=A23,6,0)+IF('Race Results'!$M$4=A23,4,0)+IF('Race Results'!$N$4=A23,2,0)+IF('Race Results'!$O$4=A23,1,0)+IF(AND('Race Results'!$Q$4=A23,'Race Results'!$R$4="Yes"),1,0),0),0)+IFERROR(IF('Race Results'!$E$5=A23,25,0)+IF('Race Results'!$G$5=A23,18,0)+IF('Race Results'!$H$5=A23,15,0)+IF('Race Results'!$I$5=A23,12,0)+IF('Race Results'!$J$5=A23,10,0)+IF('Race Results'!$K$5=A23,8,0)+IF('Race Results'!$L$5=A23,6,0)+IF('Race Results'!$M$5=A23,4,0)+IF('Race Results'!$N$5=A23,2,0)+IF('Race Results'!$O$5=A23,1,0)+IF(AND('Race Results'!$Q$5=A23,'Race Results'!$R$5="Yes"),1,0),0),0)+IFERROR(IF('Race Results'!$E$6=A23,25,0)+IF('Race Results'!$G$6=A23,18,0)+IF('Race Results'!$H$6=A23,15,0)+IF('Race Results'!$I$6=A23,12,0)+IF('Race Results'!$J$6=A23,10,0)+IF('Race Results'!$K$6=A23,8,0)+IF('Race Results'!$L$6=A23,6,0)+IF('Race Results'!$M$6=A23,4,0)+IF('Race Results'!$N$6=A23,2,0)+IF('Race Results'!$O$6=A23,1,0)+IF(AND('Race Results'!$Q$6=A23,'Race Results'!$R$6="Yes"),1,0),0),0)+IFERROR(IF('Race Results'!$E$7=A23,25,0)+IF('Race Results'!$G$7=A23,18,0)+IF('Race Results'!$H$7=A23,15,0)+IF('Race Results'!$I$7=A23,12,0)+IF('Race Results'!$J$7=A23,10,0)+IF('Race Results'!$K$7=A23,8,0)+IF('Race Results'!$L$7=A23,6,0)+IF('Race Results'!$M$7=A23,4,0)+IF('Race Results'!$N$7=A23,2,0)+IF('Race Results'!$O$7=A23,1,0)+IF(AND('Race Results'!$Q$7=A23,'Race Results'!$R$7="Yes"),1,0)+IF('Sprint Results'!$E$3=A23,8,0)+IF('Sprint Results'!$F$3=A23,7,0)+IF('Sprint Results'!$G$3=A23,6,0)+IF('Sprint Results'!$H$3=A23,5,0)+IF('Sprint Results'!$I$3=A23,4,0)+IF('Sprint Results'!$J$3=A23,3,0)+IF('Sprint Results'!$K$3=A23,2,0)+IF('Sprint Results'!$L$3=A23,1,0),0),0)+IFERROR(IF('Race Results'!$E$8=A23,25,0)+IF('Race Results'!$G$8=A23,18,0)+IF('Race Results'!$H$8=A23,15,0)+IF('Race Results'!$I$8=A23,12,0)+IF('Race Results'!$J$8=A23,10,0)+IF('Race Results'!$K$8=A23,8,0)+IF('Race Results'!$L$8=A23,6,0)+IF('Race Results'!$M$8=A23,4,0)+IF('Race Results'!$N$8=A23,2,0)+IF('Race Results'!$O$8=A23,1,0)+IF(AND('Race Results'!$Q$8=A23,'Race Results'!$R$8="Yes"),1,0)+IF('Sprint Results'!$E$4=A23,8,0)+IF('Sprint Results'!$F$4=A23,7,0)+IF('Sprint Results'!$G$4=A23,6,0)+IF('Sprint Results'!$H$4=A23,5,0)+IF('Sprint Results'!$I$4=A23,4,0)+IF('Sprint Results'!$J$4=A23,3,0)+IF('Sprint Results'!$K$4=A23,2,0)+IF('Sprint Results'!$L$4=A23,1,0),0),0)+IFERROR(IF('Race Results'!$E$9=A23,25,0)+IF('Race Results'!$G$9=A23,18,0)+IF('Race Results'!$H$9=A23,15,0)+IF('Race Results'!$I$9=A23,12,0)+IF('Race Results'!$J$9=A23,10,0)+IF('Race Results'!$K$9=A23,8,0)+IF('Race Results'!$L$9=A23,6,0)+IF('Race Results'!$M$9=A23,4,0)+IF('Race Results'!$N$9=A23,2,0)+IF('Race Results'!$O$9=A23,1,0)+IF(AND('Race Results'!$Q$9=A23,'Race Results'!$R$9="Yes"),1,0),0),0)+IFERROR(IF('Race Results'!$E$10=A23,25,0)+IF('Race Results'!$G$10=A23,18,0)+IF('Race Results'!$H$10=A23,15,0)+IF('Race Results'!$I$10=A23,12,0)+IF('Race Results'!$J$10=A23,10,0)+IF('Race Results'!$K$10=A23,8,0)+IF('Race Results'!$L$10=A23,6,0)+IF('Race Results'!$M$10=A23,4,0)+IF('Race Results'!$N$10=A23,2,0)+IF('Race Results'!$O$10=A23,1,0)+IF(AND('Race Results'!$Q$10=A23,'Race Results'!$R$10="Yes"),1,0),0),0)+IFERROR(IF('Race Results'!$E$11=A23,25,0)+IF('Race Results'!$G$11=A23,18,0)+IF('Race Results'!$H$11=A23,15,0)+IF('Race Results'!$I$11=A23,12,0)+IF('Race Results'!$J$11=A23,10,0)+IF('Race Results'!$K$11=A23,8,0)+IF('Race Results'!$L$11=A23,6,0)+IF('Race Results'!$M$11=A23,4,0)+IF('Race Results'!$N$11=A23,2,0)+IF('Race Results'!$O$11=A23,1,0)+IF(AND('Race Results'!$Q$11=A23,'Race Results'!$R$11="Yes"),1,0),0),0)+IFERROR(IF('Race Results'!$E$12=A23,25,0)+IF('Race Results'!$G$12=A23,18,0)+IF('Race Results'!$H$12=A23,15,0)+IF('Race Results'!$I$12=A23,12,0)+IF('Race Results'!$J$12=A23,10,0)+IF('Race Results'!$K$12=A23,8,0)+IF('Race Results'!$L$12=A23,6,0)+IF('Race Results'!$M$12=A23,4,0)+IF('Race Results'!$N$12=A23,2,0)+IF('Race Results'!$O$12=A23,1,0)+IF(AND('Race Results'!$Q$12=A23,'Race Results'!$R$12="Yes"),1,0),0),0)+IFERROR(IF('Race Results'!$E$13=A23,25,0)+IF('Race Results'!$G$13=A23,18,0)+IF('Race Results'!$H$13=A23,15,0)+IF('Race Results'!$I$13=A23,12,0)+IF('Race Results'!$J$13=A23,10,0)+IF('Race Results'!$K$13=A23,8,0)+IF('Race Results'!$L$13=A23,6,0)+IF('Race Results'!$M$13=A23,4,0)+IF('Race Results'!$N$13=A23,2,0)+IF('Race Results'!$O$13=A23,1,0)+IF(AND('Race Results'!$Q$13=A23,'Race Results'!$R$13="Yes"),1,0)+IF('Sprint Results'!$E$5=A23,8,0)+IF('Sprint Results'!$F$5=A23,7,0)+IF('Sprint Results'!$G$5=A23,6,0)+IF('Sprint Results'!$H$5=A23,5,0)+IF('Sprint Results'!$I$5=A23,4,0)+IF('Sprint Results'!$J$5=A23,3,0)+IF('Sprint Results'!$K$5=A23,2,0)+IF('Sprint Results'!$L$5=A23,1,0),0),0)+IFERROR(IF('Race Results'!$E$14=A23,25,0)+IF('Race Results'!$G$14=A23,18,0)+IF('Race Results'!$H$14=A23,15,0)+IF('Race Results'!$I$14=A23,12,0)+IF('Race Results'!$J$14=A23,10,0)+IF('Race Results'!$K$14=A23,8,0)+IF('Race Results'!$L$14=A23,6,0)+IF('Race Results'!$M$14=A23,4,0)+IF('Race Results'!$N$14=A23,2,0)+IF('Race Results'!$O$14=A23,1,0)+IF(AND('Race Results'!$Q$14=A23,'Race Results'!$R$14="Yes"),1,0),0),0)+IFERROR(IF('Race Results'!$E$15=A23,25,0)+IF('Race Results'!$G$15=A23,18,0)+IF('Race Results'!$H$15=A23,15,0)+IF('Race Results'!$I$15=A23,12,0)+IF('Race Results'!$J$15=A23,10,0)+IF('Race Results'!$K$15=A23,8,0)+IF('Race Results'!$L$15=A23,6,0)+IF('Race Results'!$M$15=A23,4,0)+IF('Race Results'!$N$15=A23,2,0)+IF('Race Results'!$O$15=A23,1,0)+IF(AND('Race Results'!$Q$15=A23,'Race Results'!$R$15="Yes"),1,0),0),0)+IFERROR(IF('Race Results'!$E$16=A23,25,0)+IF('Race Results'!$G$16=A23,18,0)+IF('Race Results'!$H$16=A23,15,0)+IF('Race Results'!$I$16=A23,12,0)+IF('Race Results'!$J$16=A23,10,0)+IF('Race Results'!$K$16=A23,8,0)+IF('Race Results'!$L$16=A23,6,0)+IF('Race Results'!$M$16=A23,4,0)+IF('Race Results'!$N$16=A23,2,0)+IF('Race Results'!$O$16=A23,1,0)+IF(AND('Race Results'!$Q$16=A23,'Race Results'!$R$16="Yes"),1,0)+IF('Sprint Results'!$E$6=A23,8,0)+IF('Sprint Results'!$F$6=A23,7,0)+IF('Sprint Results'!$G$6=A23,6,0)+IF('Sprint Results'!$H$6=A23,5,0)+IF('Sprint Results'!$I$6=A23,4,0)+IF('Sprint Results'!$J$6=A23,3,0)+IF('Sprint Results'!$K$6=A23,2,0)+IF('Sprint Results'!$L$6=A23,1,0),0),0)+IFERROR(IF('Race Results'!$E$17=A23,25,0)+IF('Race Results'!$G$17=A23,18,0)+IF('Race Results'!$H$17=A23,15,0)+IF('Race Results'!$I$17=A23,12,0)+IF('Race Results'!$J$17=A23,10,0)+IF('Race Results'!$K$17=A23,8,0)+IF('Race Results'!$L$17=A23,6,0)+IF('Race Results'!$M$17=A23,4,0)+IF('Race Results'!$N$17=A23,2,0)+IF('Race Results'!$O$17=A23,1,0)+IF(AND('Race Results'!$Q$17=A23,'Race Results'!$R$17="Yes"),1,0),0),0)</f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</row>
    <row r="50" customFormat="false" ht="14.25" hidden="false" customHeight="true" outlineLevel="0" collapsed="false">
      <c r="A50" s="1" t="s">
        <v>531</v>
      </c>
      <c r="B50" s="1" t="s">
        <v>506</v>
      </c>
      <c r="C50" s="1" t="s">
        <v>507</v>
      </c>
      <c r="D50" s="1" t="s">
        <v>508</v>
      </c>
      <c r="E50" s="1" t="s">
        <v>509</v>
      </c>
      <c r="F50" s="1" t="s">
        <v>510</v>
      </c>
      <c r="G50" s="1" t="s">
        <v>511</v>
      </c>
      <c r="H50" s="1" t="s">
        <v>512</v>
      </c>
      <c r="I50" s="1" t="s">
        <v>513</v>
      </c>
      <c r="J50" s="1" t="s">
        <v>514</v>
      </c>
      <c r="K50" s="1" t="s">
        <v>515</v>
      </c>
      <c r="L50" s="1" t="s">
        <v>516</v>
      </c>
      <c r="M50" s="1" t="s">
        <v>517</v>
      </c>
      <c r="N50" s="1" t="s">
        <v>518</v>
      </c>
      <c r="O50" s="1" t="s">
        <v>519</v>
      </c>
      <c r="P50" s="1" t="s">
        <v>520</v>
      </c>
      <c r="Q50" s="1" t="s">
        <v>521</v>
      </c>
      <c r="R50" s="1" t="s">
        <v>522</v>
      </c>
      <c r="S50" s="1" t="s">
        <v>523</v>
      </c>
      <c r="T50" s="1" t="s">
        <v>524</v>
      </c>
      <c r="U50" s="1" t="s">
        <v>525</v>
      </c>
      <c r="V50" s="1" t="s">
        <v>526</v>
      </c>
      <c r="W50" s="1" t="s">
        <v>527</v>
      </c>
      <c r="X50" s="1" t="s">
        <v>528</v>
      </c>
      <c r="Y50" s="1" t="s">
        <v>529</v>
      </c>
    </row>
    <row r="51" customFormat="false" ht="14.25" hidden="false" customHeight="true" outlineLevel="0" collapsed="false">
      <c r="A51" s="1" t="s">
        <v>48</v>
      </c>
      <c r="B51" s="1" t="n">
        <f aca="false">IFERROR(MAX('Chart Data'!B$25:B$46)-'Chart Data'!B25,0)</f>
        <v>0</v>
      </c>
      <c r="C51" s="1" t="n">
        <f aca="false">IFERROR(MAX('Chart Data'!C$25:C$46)-'Chart Data'!C25,0)</f>
        <v>0</v>
      </c>
      <c r="D51" s="1" t="n">
        <f aca="false">IFERROR(MAX('Chart Data'!D$25:D$46)-'Chart Data'!D25,0)</f>
        <v>9</v>
      </c>
      <c r="E51" s="1" t="n">
        <f aca="false">IFERROR(MAX('Chart Data'!E$25:E$46)-'Chart Data'!E25,0)</f>
        <v>9</v>
      </c>
      <c r="F51" s="1" t="n">
        <f aca="false">IFERROR(MAX('Chart Data'!F$25:F$46)-'Chart Data'!F25,0)</f>
        <v>9</v>
      </c>
      <c r="G51" s="1" t="n">
        <f aca="false">IFERROR(MAX('Chart Data'!G$25:G$46)-'Chart Data'!G25,0)</f>
        <v>9</v>
      </c>
      <c r="H51" s="1" t="n">
        <f aca="false">IFERROR(MAX('Chart Data'!H$25:H$46)-'Chart Data'!H25,0)</f>
        <v>9</v>
      </c>
      <c r="I51" s="1" t="n">
        <f aca="false">IFERROR(MAX('Chart Data'!I$25:I$46)-'Chart Data'!I25,0)</f>
        <v>9</v>
      </c>
      <c r="J51" s="1" t="n">
        <f aca="false">IFERROR(MAX('Chart Data'!J$25:J$46)-'Chart Data'!J25,0)</f>
        <v>9</v>
      </c>
      <c r="K51" s="1" t="n">
        <f aca="false">IFERROR(MAX('Chart Data'!K$25:K$46)-'Chart Data'!K25,0)</f>
        <v>9</v>
      </c>
      <c r="L51" s="1" t="n">
        <f aca="false">IFERROR(MAX('Chart Data'!L$25:L$46)-'Chart Data'!L25,0)</f>
        <v>9</v>
      </c>
      <c r="M51" s="1" t="n">
        <f aca="false">IFERROR(MAX('Chart Data'!M$25:M$46)-'Chart Data'!M25,0)</f>
        <v>9</v>
      </c>
      <c r="N51" s="1" t="n">
        <f aca="false">IFERROR(MAX('Chart Data'!N$25:N$46)-'Chart Data'!N25,0)</f>
        <v>9</v>
      </c>
      <c r="O51" s="1" t="n">
        <f aca="false">IFERROR(MAX('Chart Data'!O$25:O$46)-'Chart Data'!O25,0)</f>
        <v>9</v>
      </c>
      <c r="P51" s="1" t="n">
        <f aca="false">IFERROR(MAX('Chart Data'!P$25:P$46)-'Chart Data'!P25,0)</f>
        <v>9</v>
      </c>
      <c r="Q51" s="1" t="n">
        <f aca="false">IFERROR(MAX('Chart Data'!Q$25:Q$46)-'Chart Data'!Q25,0)</f>
        <v>9</v>
      </c>
      <c r="R51" s="1" t="n">
        <f aca="false">IFERROR(MAX('Chart Data'!R$25:R$46)-'Chart Data'!R25,0)</f>
        <v>0</v>
      </c>
      <c r="S51" s="1" t="n">
        <f aca="false">IFERROR(MAX('Chart Data'!S$25:S$46)-'Chart Data'!S25,0)</f>
        <v>0</v>
      </c>
      <c r="T51" s="1" t="n">
        <f aca="false">IFERROR(MAX('Chart Data'!T$25:T$46)-'Chart Data'!T25,0)</f>
        <v>0</v>
      </c>
      <c r="U51" s="1" t="n">
        <f aca="false">IFERROR(MAX('Chart Data'!U$25:U$46)-'Chart Data'!U25,0)</f>
        <v>0</v>
      </c>
      <c r="V51" s="1" t="n">
        <f aca="false">IFERROR(MAX('Chart Data'!V$25:V$46)-'Chart Data'!V25,0)</f>
        <v>0</v>
      </c>
      <c r="W51" s="1" t="n">
        <f aca="false">IFERROR(MAX('Chart Data'!W$25:W$46)-'Chart Data'!W25,0)</f>
        <v>0</v>
      </c>
      <c r="X51" s="1" t="n">
        <f aca="false">IFERROR(MAX('Chart Data'!X$25:X$46)-'Chart Data'!X25,0)</f>
        <v>0</v>
      </c>
      <c r="Y51" s="1" t="n">
        <f aca="false">IFERROR(MAX('Chart Data'!Y$25:Y$46)-'Chart Data'!Y25,0)</f>
        <v>0</v>
      </c>
    </row>
    <row r="52" customFormat="false" ht="14.25" hidden="false" customHeight="true" outlineLevel="0" collapsed="false">
      <c r="A52" s="1" t="s">
        <v>49</v>
      </c>
      <c r="B52" s="1" t="n">
        <f aca="false">IFERROR(MAX('Chart Data'!B$25:B$46)-'Chart Data'!B26,0)</f>
        <v>7</v>
      </c>
      <c r="C52" s="1" t="n">
        <f aca="false">IFERROR(MAX('Chart Data'!C$25:C$46)-'Chart Data'!C26,0)</f>
        <v>4</v>
      </c>
      <c r="D52" s="1" t="n">
        <f aca="false">IFERROR(MAX('Chart Data'!D$25:D$46)-'Chart Data'!D26,0)</f>
        <v>0</v>
      </c>
      <c r="E52" s="1" t="n">
        <f aca="false">IFERROR(MAX('Chart Data'!E$25:E$46)-'Chart Data'!E26,0)</f>
        <v>0</v>
      </c>
      <c r="F52" s="1" t="n">
        <f aca="false">IFERROR(MAX('Chart Data'!F$25:F$46)-'Chart Data'!F26,0)</f>
        <v>0</v>
      </c>
      <c r="G52" s="1" t="n">
        <f aca="false">IFERROR(MAX('Chart Data'!G$25:G$46)-'Chart Data'!G26,0)</f>
        <v>0</v>
      </c>
      <c r="H52" s="1" t="n">
        <f aca="false">IFERROR(MAX('Chart Data'!H$25:H$46)-'Chart Data'!H26,0)</f>
        <v>0</v>
      </c>
      <c r="I52" s="1" t="n">
        <f aca="false">IFERROR(MAX('Chart Data'!I$25:I$46)-'Chart Data'!I26,0)</f>
        <v>0</v>
      </c>
      <c r="J52" s="1" t="n">
        <f aca="false">IFERROR(MAX('Chart Data'!J$25:J$46)-'Chart Data'!J26,0)</f>
        <v>0</v>
      </c>
      <c r="K52" s="1" t="n">
        <f aca="false">IFERROR(MAX('Chart Data'!K$25:K$46)-'Chart Data'!K26,0)</f>
        <v>0</v>
      </c>
      <c r="L52" s="1" t="n">
        <f aca="false">IFERROR(MAX('Chart Data'!L$25:L$46)-'Chart Data'!L26,0)</f>
        <v>0</v>
      </c>
      <c r="M52" s="1" t="n">
        <f aca="false">IFERROR(MAX('Chart Data'!M$25:M$46)-'Chart Data'!M26,0)</f>
        <v>0</v>
      </c>
      <c r="N52" s="1" t="n">
        <f aca="false">IFERROR(MAX('Chart Data'!N$25:N$46)-'Chart Data'!N26,0)</f>
        <v>0</v>
      </c>
      <c r="O52" s="1" t="n">
        <f aca="false">IFERROR(MAX('Chart Data'!O$25:O$46)-'Chart Data'!O26,0)</f>
        <v>0</v>
      </c>
      <c r="P52" s="1" t="n">
        <f aca="false">IFERROR(MAX('Chart Data'!P$25:P$46)-'Chart Data'!P26,0)</f>
        <v>0</v>
      </c>
      <c r="Q52" s="1" t="n">
        <f aca="false">IFERROR(MAX('Chart Data'!Q$25:Q$46)-'Chart Data'!Q26,0)</f>
        <v>0</v>
      </c>
      <c r="R52" s="1" t="n">
        <f aca="false">IFERROR(MAX('Chart Data'!R$25:R$46)-'Chart Data'!R26,0)</f>
        <v>4</v>
      </c>
      <c r="S52" s="1" t="n">
        <f aca="false">IFERROR(MAX('Chart Data'!S$25:S$46)-'Chart Data'!S26,0)</f>
        <v>4</v>
      </c>
      <c r="T52" s="1" t="n">
        <f aca="false">IFERROR(MAX('Chart Data'!T$25:T$46)-'Chart Data'!T26,0)</f>
        <v>4</v>
      </c>
      <c r="U52" s="1" t="n">
        <f aca="false">IFERROR(MAX('Chart Data'!U$25:U$46)-'Chart Data'!U26,0)</f>
        <v>4</v>
      </c>
      <c r="V52" s="1" t="n">
        <f aca="false">IFERROR(MAX('Chart Data'!V$25:V$46)-'Chart Data'!V26,0)</f>
        <v>4</v>
      </c>
      <c r="W52" s="1" t="n">
        <f aca="false">IFERROR(MAX('Chart Data'!W$25:W$46)-'Chart Data'!W26,0)</f>
        <v>4</v>
      </c>
      <c r="X52" s="1" t="n">
        <f aca="false">IFERROR(MAX('Chart Data'!X$25:X$46)-'Chart Data'!X26,0)</f>
        <v>4</v>
      </c>
      <c r="Y52" s="1" t="n">
        <f aca="false">IFERROR(MAX('Chart Data'!Y$25:Y$46)-'Chart Data'!Y26,0)</f>
        <v>4</v>
      </c>
    </row>
    <row r="53" customFormat="false" ht="14.25" hidden="false" customHeight="true" outlineLevel="0" collapsed="false">
      <c r="A53" s="1" t="s">
        <v>50</v>
      </c>
      <c r="B53" s="1" t="n">
        <f aca="false">IFERROR(MAX('Chart Data'!B$25:B$46)-'Chart Data'!B27,0)</f>
        <v>10</v>
      </c>
      <c r="C53" s="1" t="n">
        <f aca="false">IFERROR(MAX('Chart Data'!C$25:C$46)-'Chart Data'!C27,0)</f>
        <v>17</v>
      </c>
      <c r="D53" s="1" t="n">
        <f aca="false">IFERROR(MAX('Chart Data'!D$25:D$46)-'Chart Data'!D27,0)</f>
        <v>23</v>
      </c>
      <c r="E53" s="1" t="n">
        <f aca="false">IFERROR(MAX('Chart Data'!E$25:E$46)-'Chart Data'!E27,0)</f>
        <v>23</v>
      </c>
      <c r="F53" s="1" t="n">
        <f aca="false">IFERROR(MAX('Chart Data'!F$25:F$46)-'Chart Data'!F27,0)</f>
        <v>23</v>
      </c>
      <c r="G53" s="1" t="n">
        <f aca="false">IFERROR(MAX('Chart Data'!G$25:G$46)-'Chart Data'!G27,0)</f>
        <v>23</v>
      </c>
      <c r="H53" s="1" t="n">
        <f aca="false">IFERROR(MAX('Chart Data'!H$25:H$46)-'Chart Data'!H27,0)</f>
        <v>23</v>
      </c>
      <c r="I53" s="1" t="n">
        <f aca="false">IFERROR(MAX('Chart Data'!I$25:I$46)-'Chart Data'!I27,0)</f>
        <v>23</v>
      </c>
      <c r="J53" s="1" t="n">
        <f aca="false">IFERROR(MAX('Chart Data'!J$25:J$46)-'Chart Data'!J27,0)</f>
        <v>23</v>
      </c>
      <c r="K53" s="1" t="n">
        <f aca="false">IFERROR(MAX('Chart Data'!K$25:K$46)-'Chart Data'!K27,0)</f>
        <v>23</v>
      </c>
      <c r="L53" s="1" t="n">
        <f aca="false">IFERROR(MAX('Chart Data'!L$25:L$46)-'Chart Data'!L27,0)</f>
        <v>23</v>
      </c>
      <c r="M53" s="1" t="n">
        <f aca="false">IFERROR(MAX('Chart Data'!M$25:M$46)-'Chart Data'!M27,0)</f>
        <v>23</v>
      </c>
      <c r="N53" s="1" t="n">
        <f aca="false">IFERROR(MAX('Chart Data'!N$25:N$46)-'Chart Data'!N27,0)</f>
        <v>23</v>
      </c>
      <c r="O53" s="1" t="n">
        <f aca="false">IFERROR(MAX('Chart Data'!O$25:O$46)-'Chart Data'!O27,0)</f>
        <v>23</v>
      </c>
      <c r="P53" s="1" t="n">
        <f aca="false">IFERROR(MAX('Chart Data'!P$25:P$46)-'Chart Data'!P27,0)</f>
        <v>23</v>
      </c>
      <c r="Q53" s="1" t="n">
        <f aca="false">IFERROR(MAX('Chart Data'!Q$25:Q$46)-'Chart Data'!Q27,0)</f>
        <v>23</v>
      </c>
      <c r="R53" s="1" t="n">
        <f aca="false">IFERROR(MAX('Chart Data'!R$25:R$46)-'Chart Data'!R27,0)</f>
        <v>18</v>
      </c>
      <c r="S53" s="1" t="n">
        <f aca="false">IFERROR(MAX('Chart Data'!S$25:S$46)-'Chart Data'!S27,0)</f>
        <v>18</v>
      </c>
      <c r="T53" s="1" t="n">
        <f aca="false">IFERROR(MAX('Chart Data'!T$25:T$46)-'Chart Data'!T27,0)</f>
        <v>18</v>
      </c>
      <c r="U53" s="1" t="n">
        <f aca="false">IFERROR(MAX('Chart Data'!U$25:U$46)-'Chart Data'!U27,0)</f>
        <v>18</v>
      </c>
      <c r="V53" s="1" t="n">
        <f aca="false">IFERROR(MAX('Chart Data'!V$25:V$46)-'Chart Data'!V27,0)</f>
        <v>18</v>
      </c>
      <c r="W53" s="1" t="n">
        <f aca="false">IFERROR(MAX('Chart Data'!W$25:W$46)-'Chart Data'!W27,0)</f>
        <v>18</v>
      </c>
      <c r="X53" s="1" t="n">
        <f aca="false">IFERROR(MAX('Chart Data'!X$25:X$46)-'Chart Data'!X27,0)</f>
        <v>18</v>
      </c>
      <c r="Y53" s="1" t="n">
        <f aca="false">IFERROR(MAX('Chart Data'!Y$25:Y$46)-'Chart Data'!Y27,0)</f>
        <v>18</v>
      </c>
    </row>
    <row r="54" customFormat="false" ht="14.25" hidden="false" customHeight="true" outlineLevel="0" collapsed="false">
      <c r="A54" s="1" t="s">
        <v>51</v>
      </c>
      <c r="B54" s="1" t="n">
        <f aca="false">IFERROR(MAX('Chart Data'!B$25:B$46)-'Chart Data'!B28,0)</f>
        <v>13</v>
      </c>
      <c r="C54" s="1" t="n">
        <f aca="false">IFERROR(MAX('Chart Data'!C$25:C$46)-'Chart Data'!C28,0)</f>
        <v>18</v>
      </c>
      <c r="D54" s="1" t="n">
        <f aca="false">IFERROR(MAX('Chart Data'!D$25:D$46)-'Chart Data'!D28,0)</f>
        <v>31</v>
      </c>
      <c r="E54" s="1" t="n">
        <f aca="false">IFERROR(MAX('Chart Data'!E$25:E$46)-'Chart Data'!E28,0)</f>
        <v>31</v>
      </c>
      <c r="F54" s="1" t="n">
        <f aca="false">IFERROR(MAX('Chart Data'!F$25:F$46)-'Chart Data'!F28,0)</f>
        <v>31</v>
      </c>
      <c r="G54" s="1" t="n">
        <f aca="false">IFERROR(MAX('Chart Data'!G$25:G$46)-'Chart Data'!G28,0)</f>
        <v>31</v>
      </c>
      <c r="H54" s="1" t="n">
        <f aca="false">IFERROR(MAX('Chart Data'!H$25:H$46)-'Chart Data'!H28,0)</f>
        <v>31</v>
      </c>
      <c r="I54" s="1" t="n">
        <f aca="false">IFERROR(MAX('Chart Data'!I$25:I$46)-'Chart Data'!I28,0)</f>
        <v>31</v>
      </c>
      <c r="J54" s="1" t="n">
        <f aca="false">IFERROR(MAX('Chart Data'!J$25:J$46)-'Chart Data'!J28,0)</f>
        <v>31</v>
      </c>
      <c r="K54" s="1" t="n">
        <f aca="false">IFERROR(MAX('Chart Data'!K$25:K$46)-'Chart Data'!K28,0)</f>
        <v>31</v>
      </c>
      <c r="L54" s="1" t="n">
        <f aca="false">IFERROR(MAX('Chart Data'!L$25:L$46)-'Chart Data'!L28,0)</f>
        <v>31</v>
      </c>
      <c r="M54" s="1" t="n">
        <f aca="false">IFERROR(MAX('Chart Data'!M$25:M$46)-'Chart Data'!M28,0)</f>
        <v>31</v>
      </c>
      <c r="N54" s="1" t="n">
        <f aca="false">IFERROR(MAX('Chart Data'!N$25:N$46)-'Chart Data'!N28,0)</f>
        <v>31</v>
      </c>
      <c r="O54" s="1" t="n">
        <f aca="false">IFERROR(MAX('Chart Data'!O$25:O$46)-'Chart Data'!O28,0)</f>
        <v>31</v>
      </c>
      <c r="P54" s="1" t="n">
        <f aca="false">IFERROR(MAX('Chart Data'!P$25:P$46)-'Chart Data'!P28,0)</f>
        <v>31</v>
      </c>
      <c r="Q54" s="1" t="n">
        <f aca="false">IFERROR(MAX('Chart Data'!Q$25:Q$46)-'Chart Data'!Q28,0)</f>
        <v>31</v>
      </c>
      <c r="R54" s="1" t="n">
        <f aca="false">IFERROR(MAX('Chart Data'!R$25:R$46)-'Chart Data'!R28,0)</f>
        <v>19</v>
      </c>
      <c r="S54" s="1" t="n">
        <f aca="false">IFERROR(MAX('Chart Data'!S$25:S$46)-'Chart Data'!S28,0)</f>
        <v>19</v>
      </c>
      <c r="T54" s="1" t="n">
        <f aca="false">IFERROR(MAX('Chart Data'!T$25:T$46)-'Chart Data'!T28,0)</f>
        <v>19</v>
      </c>
      <c r="U54" s="1" t="n">
        <f aca="false">IFERROR(MAX('Chart Data'!U$25:U$46)-'Chart Data'!U28,0)</f>
        <v>19</v>
      </c>
      <c r="V54" s="1" t="n">
        <f aca="false">IFERROR(MAX('Chart Data'!V$25:V$46)-'Chart Data'!V28,0)</f>
        <v>19</v>
      </c>
      <c r="W54" s="1" t="n">
        <f aca="false">IFERROR(MAX('Chart Data'!W$25:W$46)-'Chart Data'!W28,0)</f>
        <v>19</v>
      </c>
      <c r="X54" s="1" t="n">
        <f aca="false">IFERROR(MAX('Chart Data'!X$25:X$46)-'Chart Data'!X28,0)</f>
        <v>19</v>
      </c>
      <c r="Y54" s="1" t="n">
        <f aca="false">IFERROR(MAX('Chart Data'!Y$25:Y$46)-'Chart Data'!Y28,0)</f>
        <v>19</v>
      </c>
    </row>
    <row r="55" customFormat="false" ht="14.25" hidden="false" customHeight="true" outlineLevel="0" collapsed="false">
      <c r="A55" s="1" t="s">
        <v>54</v>
      </c>
      <c r="B55" s="1" t="n">
        <f aca="false">IFERROR(MAX('Chart Data'!B$25:B$46)-'Chart Data'!B29,0)</f>
        <v>19</v>
      </c>
      <c r="C55" s="1" t="n">
        <f aca="false">IFERROR(MAX('Chart Data'!C$25:C$46)-'Chart Data'!C29,0)</f>
        <v>34</v>
      </c>
      <c r="D55" s="1" t="n">
        <f aca="false">IFERROR(MAX('Chart Data'!D$25:D$46)-'Chart Data'!D29,0)</f>
        <v>55</v>
      </c>
      <c r="E55" s="1" t="n">
        <f aca="false">IFERROR(MAX('Chart Data'!E$25:E$46)-'Chart Data'!E29,0)</f>
        <v>55</v>
      </c>
      <c r="F55" s="1" t="n">
        <f aca="false">IFERROR(MAX('Chart Data'!F$25:F$46)-'Chart Data'!F29,0)</f>
        <v>55</v>
      </c>
      <c r="G55" s="1" t="n">
        <f aca="false">IFERROR(MAX('Chart Data'!G$25:G$46)-'Chart Data'!G29,0)</f>
        <v>55</v>
      </c>
      <c r="H55" s="1" t="n">
        <f aca="false">IFERROR(MAX('Chart Data'!H$25:H$46)-'Chart Data'!H29,0)</f>
        <v>55</v>
      </c>
      <c r="I55" s="1" t="n">
        <f aca="false">IFERROR(MAX('Chart Data'!I$25:I$46)-'Chart Data'!I29,0)</f>
        <v>55</v>
      </c>
      <c r="J55" s="1" t="n">
        <f aca="false">IFERROR(MAX('Chart Data'!J$25:J$46)-'Chart Data'!J29,0)</f>
        <v>55</v>
      </c>
      <c r="K55" s="1" t="n">
        <f aca="false">IFERROR(MAX('Chart Data'!K$25:K$46)-'Chart Data'!K29,0)</f>
        <v>55</v>
      </c>
      <c r="L55" s="1" t="n">
        <f aca="false">IFERROR(MAX('Chart Data'!L$25:L$46)-'Chart Data'!L29,0)</f>
        <v>55</v>
      </c>
      <c r="M55" s="1" t="n">
        <f aca="false">IFERROR(MAX('Chart Data'!M$25:M$46)-'Chart Data'!M29,0)</f>
        <v>55</v>
      </c>
      <c r="N55" s="1" t="n">
        <f aca="false">IFERROR(MAX('Chart Data'!N$25:N$46)-'Chart Data'!N29,0)</f>
        <v>55</v>
      </c>
      <c r="O55" s="1" t="n">
        <f aca="false">IFERROR(MAX('Chart Data'!O$25:O$46)-'Chart Data'!O29,0)</f>
        <v>55</v>
      </c>
      <c r="P55" s="1" t="n">
        <f aca="false">IFERROR(MAX('Chart Data'!P$25:P$46)-'Chart Data'!P29,0)</f>
        <v>55</v>
      </c>
      <c r="Q55" s="1" t="n">
        <f aca="false">IFERROR(MAX('Chart Data'!Q$25:Q$46)-'Chart Data'!Q29,0)</f>
        <v>55</v>
      </c>
      <c r="R55" s="1" t="n">
        <f aca="false">IFERROR(MAX('Chart Data'!R$25:R$46)-'Chart Data'!R29,0)</f>
        <v>35</v>
      </c>
      <c r="S55" s="1" t="n">
        <f aca="false">IFERROR(MAX('Chart Data'!S$25:S$46)-'Chart Data'!S29,0)</f>
        <v>35</v>
      </c>
      <c r="T55" s="1" t="n">
        <f aca="false">IFERROR(MAX('Chart Data'!T$25:T$46)-'Chart Data'!T29,0)</f>
        <v>35</v>
      </c>
      <c r="U55" s="1" t="n">
        <f aca="false">IFERROR(MAX('Chart Data'!U$25:U$46)-'Chart Data'!U29,0)</f>
        <v>35</v>
      </c>
      <c r="V55" s="1" t="n">
        <f aca="false">IFERROR(MAX('Chart Data'!V$25:V$46)-'Chart Data'!V29,0)</f>
        <v>35</v>
      </c>
      <c r="W55" s="1" t="n">
        <f aca="false">IFERROR(MAX('Chart Data'!W$25:W$46)-'Chart Data'!W29,0)</f>
        <v>35</v>
      </c>
      <c r="X55" s="1" t="n">
        <f aca="false">IFERROR(MAX('Chart Data'!X$25:X$46)-'Chart Data'!X29,0)</f>
        <v>35</v>
      </c>
      <c r="Y55" s="1" t="n">
        <f aca="false">IFERROR(MAX('Chart Data'!Y$25:Y$46)-'Chart Data'!Y29,0)</f>
        <v>35</v>
      </c>
    </row>
    <row r="56" customFormat="false" ht="14.25" hidden="false" customHeight="true" outlineLevel="0" collapsed="false">
      <c r="A56" s="1" t="s">
        <v>52</v>
      </c>
      <c r="B56" s="1" t="n">
        <f aca="false">IFERROR(MAX('Chart Data'!B$25:B$46)-'Chart Data'!B30,0)</f>
        <v>15</v>
      </c>
      <c r="C56" s="1" t="n">
        <f aca="false">IFERROR(MAX('Chart Data'!C$25:C$46)-'Chart Data'!C30,0)</f>
        <v>36</v>
      </c>
      <c r="D56" s="1" t="n">
        <f aca="false">IFERROR(MAX('Chart Data'!D$25:D$46)-'Chart Data'!D30,0)</f>
        <v>47</v>
      </c>
      <c r="E56" s="1" t="n">
        <f aca="false">IFERROR(MAX('Chart Data'!E$25:E$46)-'Chart Data'!E30,0)</f>
        <v>47</v>
      </c>
      <c r="F56" s="1" t="n">
        <f aca="false">IFERROR(MAX('Chart Data'!F$25:F$46)-'Chart Data'!F30,0)</f>
        <v>47</v>
      </c>
      <c r="G56" s="1" t="n">
        <f aca="false">IFERROR(MAX('Chart Data'!G$25:G$46)-'Chart Data'!G30,0)</f>
        <v>47</v>
      </c>
      <c r="H56" s="1" t="n">
        <f aca="false">IFERROR(MAX('Chart Data'!H$25:H$46)-'Chart Data'!H30,0)</f>
        <v>47</v>
      </c>
      <c r="I56" s="1" t="n">
        <f aca="false">IFERROR(MAX('Chart Data'!I$25:I$46)-'Chart Data'!I30,0)</f>
        <v>47</v>
      </c>
      <c r="J56" s="1" t="n">
        <f aca="false">IFERROR(MAX('Chart Data'!J$25:J$46)-'Chart Data'!J30,0)</f>
        <v>47</v>
      </c>
      <c r="K56" s="1" t="n">
        <f aca="false">IFERROR(MAX('Chart Data'!K$25:K$46)-'Chart Data'!K30,0)</f>
        <v>47</v>
      </c>
      <c r="L56" s="1" t="n">
        <f aca="false">IFERROR(MAX('Chart Data'!L$25:L$46)-'Chart Data'!L30,0)</f>
        <v>47</v>
      </c>
      <c r="M56" s="1" t="n">
        <f aca="false">IFERROR(MAX('Chart Data'!M$25:M$46)-'Chart Data'!M30,0)</f>
        <v>47</v>
      </c>
      <c r="N56" s="1" t="n">
        <f aca="false">IFERROR(MAX('Chart Data'!N$25:N$46)-'Chart Data'!N30,0)</f>
        <v>47</v>
      </c>
      <c r="O56" s="1" t="n">
        <f aca="false">IFERROR(MAX('Chart Data'!O$25:O$46)-'Chart Data'!O30,0)</f>
        <v>47</v>
      </c>
      <c r="P56" s="1" t="n">
        <f aca="false">IFERROR(MAX('Chart Data'!P$25:P$46)-'Chart Data'!P30,0)</f>
        <v>47</v>
      </c>
      <c r="Q56" s="1" t="n">
        <f aca="false">IFERROR(MAX('Chart Data'!Q$25:Q$46)-'Chart Data'!Q30,0)</f>
        <v>47</v>
      </c>
      <c r="R56" s="1" t="n">
        <f aca="false">IFERROR(MAX('Chart Data'!R$25:R$46)-'Chart Data'!R30,0)</f>
        <v>37</v>
      </c>
      <c r="S56" s="1" t="n">
        <f aca="false">IFERROR(MAX('Chart Data'!S$25:S$46)-'Chart Data'!S30,0)</f>
        <v>37</v>
      </c>
      <c r="T56" s="1" t="n">
        <f aca="false">IFERROR(MAX('Chart Data'!T$25:T$46)-'Chart Data'!T30,0)</f>
        <v>37</v>
      </c>
      <c r="U56" s="1" t="n">
        <f aca="false">IFERROR(MAX('Chart Data'!U$25:U$46)-'Chart Data'!U30,0)</f>
        <v>37</v>
      </c>
      <c r="V56" s="1" t="n">
        <f aca="false">IFERROR(MAX('Chart Data'!V$25:V$46)-'Chart Data'!V30,0)</f>
        <v>37</v>
      </c>
      <c r="W56" s="1" t="n">
        <f aca="false">IFERROR(MAX('Chart Data'!W$25:W$46)-'Chart Data'!W30,0)</f>
        <v>37</v>
      </c>
      <c r="X56" s="1" t="n">
        <f aca="false">IFERROR(MAX('Chart Data'!X$25:X$46)-'Chart Data'!X30,0)</f>
        <v>37</v>
      </c>
      <c r="Y56" s="1" t="n">
        <f aca="false">IFERROR(MAX('Chart Data'!Y$25:Y$46)-'Chart Data'!Y30,0)</f>
        <v>37</v>
      </c>
    </row>
    <row r="57" customFormat="false" ht="14.25" hidden="false" customHeight="true" outlineLevel="0" collapsed="false">
      <c r="A57" s="1" t="s">
        <v>57</v>
      </c>
      <c r="B57" s="1" t="n">
        <f aca="false">IFERROR(MAX('Chart Data'!B$25:B$46)-'Chart Data'!B31,0)</f>
        <v>24</v>
      </c>
      <c r="C57" s="1" t="n">
        <f aca="false">IFERROR(MAX('Chart Data'!C$25:C$46)-'Chart Data'!C31,0)</f>
        <v>42</v>
      </c>
      <c r="D57" s="1" t="n">
        <f aca="false">IFERROR(MAX('Chart Data'!D$25:D$46)-'Chart Data'!D31,0)</f>
        <v>57</v>
      </c>
      <c r="E57" s="1" t="n">
        <f aca="false">IFERROR(MAX('Chart Data'!E$25:E$46)-'Chart Data'!E31,0)</f>
        <v>57</v>
      </c>
      <c r="F57" s="1" t="n">
        <f aca="false">IFERROR(MAX('Chart Data'!F$25:F$46)-'Chart Data'!F31,0)</f>
        <v>57</v>
      </c>
      <c r="G57" s="1" t="n">
        <f aca="false">IFERROR(MAX('Chart Data'!G$25:G$46)-'Chart Data'!G31,0)</f>
        <v>57</v>
      </c>
      <c r="H57" s="1" t="n">
        <f aca="false">IFERROR(MAX('Chart Data'!H$25:H$46)-'Chart Data'!H31,0)</f>
        <v>57</v>
      </c>
      <c r="I57" s="1" t="n">
        <f aca="false">IFERROR(MAX('Chart Data'!I$25:I$46)-'Chart Data'!I31,0)</f>
        <v>57</v>
      </c>
      <c r="J57" s="1" t="n">
        <f aca="false">IFERROR(MAX('Chart Data'!J$25:J$46)-'Chart Data'!J31,0)</f>
        <v>57</v>
      </c>
      <c r="K57" s="1" t="n">
        <f aca="false">IFERROR(MAX('Chart Data'!K$25:K$46)-'Chart Data'!K31,0)</f>
        <v>57</v>
      </c>
      <c r="L57" s="1" t="n">
        <f aca="false">IFERROR(MAX('Chart Data'!L$25:L$46)-'Chart Data'!L31,0)</f>
        <v>57</v>
      </c>
      <c r="M57" s="1" t="n">
        <f aca="false">IFERROR(MAX('Chart Data'!M$25:M$46)-'Chart Data'!M31,0)</f>
        <v>57</v>
      </c>
      <c r="N57" s="1" t="n">
        <f aca="false">IFERROR(MAX('Chart Data'!N$25:N$46)-'Chart Data'!N31,0)</f>
        <v>57</v>
      </c>
      <c r="O57" s="1" t="n">
        <f aca="false">IFERROR(MAX('Chart Data'!O$25:O$46)-'Chart Data'!O31,0)</f>
        <v>57</v>
      </c>
      <c r="P57" s="1" t="n">
        <f aca="false">IFERROR(MAX('Chart Data'!P$25:P$46)-'Chart Data'!P31,0)</f>
        <v>57</v>
      </c>
      <c r="Q57" s="1" t="n">
        <f aca="false">IFERROR(MAX('Chart Data'!Q$25:Q$46)-'Chart Data'!Q31,0)</f>
        <v>57</v>
      </c>
      <c r="R57" s="1" t="n">
        <f aca="false">IFERROR(MAX('Chart Data'!R$25:R$46)-'Chart Data'!R31,0)</f>
        <v>43</v>
      </c>
      <c r="S57" s="1" t="n">
        <f aca="false">IFERROR(MAX('Chart Data'!S$25:S$46)-'Chart Data'!S31,0)</f>
        <v>43</v>
      </c>
      <c r="T57" s="1" t="n">
        <f aca="false">IFERROR(MAX('Chart Data'!T$25:T$46)-'Chart Data'!T31,0)</f>
        <v>43</v>
      </c>
      <c r="U57" s="1" t="n">
        <f aca="false">IFERROR(MAX('Chart Data'!U$25:U$46)-'Chart Data'!U31,0)</f>
        <v>43</v>
      </c>
      <c r="V57" s="1" t="n">
        <f aca="false">IFERROR(MAX('Chart Data'!V$25:V$46)-'Chart Data'!V31,0)</f>
        <v>43</v>
      </c>
      <c r="W57" s="1" t="n">
        <f aca="false">IFERROR(MAX('Chart Data'!W$25:W$46)-'Chart Data'!W31,0)</f>
        <v>43</v>
      </c>
      <c r="X57" s="1" t="n">
        <f aca="false">IFERROR(MAX('Chart Data'!X$25:X$46)-'Chart Data'!X31,0)</f>
        <v>43</v>
      </c>
      <c r="Y57" s="1" t="n">
        <f aca="false">IFERROR(MAX('Chart Data'!Y$25:Y$46)-'Chart Data'!Y31,0)</f>
        <v>43</v>
      </c>
    </row>
    <row r="58" customFormat="false" ht="14.25" hidden="false" customHeight="true" outlineLevel="0" collapsed="false">
      <c r="A58" s="1" t="s">
        <v>53</v>
      </c>
      <c r="B58" s="1" t="n">
        <f aca="false">IFERROR(MAX('Chart Data'!B$25:B$46)-'Chart Data'!B32,0)</f>
        <v>17</v>
      </c>
      <c r="C58" s="1" t="n">
        <f aca="false">IFERROR(MAX('Chart Data'!C$25:C$46)-'Chart Data'!C32,0)</f>
        <v>43</v>
      </c>
      <c r="D58" s="1" t="n">
        <f aca="false">IFERROR(MAX('Chart Data'!D$25:D$46)-'Chart Data'!D32,0)</f>
        <v>60</v>
      </c>
      <c r="E58" s="1" t="n">
        <f aca="false">IFERROR(MAX('Chart Data'!E$25:E$46)-'Chart Data'!E32,0)</f>
        <v>60</v>
      </c>
      <c r="F58" s="1" t="n">
        <f aca="false">IFERROR(MAX('Chart Data'!F$25:F$46)-'Chart Data'!F32,0)</f>
        <v>60</v>
      </c>
      <c r="G58" s="1" t="n">
        <f aca="false">IFERROR(MAX('Chart Data'!G$25:G$46)-'Chart Data'!G32,0)</f>
        <v>60</v>
      </c>
      <c r="H58" s="1" t="n">
        <f aca="false">IFERROR(MAX('Chart Data'!H$25:H$46)-'Chart Data'!H32,0)</f>
        <v>60</v>
      </c>
      <c r="I58" s="1" t="n">
        <f aca="false">IFERROR(MAX('Chart Data'!I$25:I$46)-'Chart Data'!I32,0)</f>
        <v>60</v>
      </c>
      <c r="J58" s="1" t="n">
        <f aca="false">IFERROR(MAX('Chart Data'!J$25:J$46)-'Chart Data'!J32,0)</f>
        <v>60</v>
      </c>
      <c r="K58" s="1" t="n">
        <f aca="false">IFERROR(MAX('Chart Data'!K$25:K$46)-'Chart Data'!K32,0)</f>
        <v>60</v>
      </c>
      <c r="L58" s="1" t="n">
        <f aca="false">IFERROR(MAX('Chart Data'!L$25:L$46)-'Chart Data'!L32,0)</f>
        <v>60</v>
      </c>
      <c r="M58" s="1" t="n">
        <f aca="false">IFERROR(MAX('Chart Data'!M$25:M$46)-'Chart Data'!M32,0)</f>
        <v>60</v>
      </c>
      <c r="N58" s="1" t="n">
        <f aca="false">IFERROR(MAX('Chart Data'!N$25:N$46)-'Chart Data'!N32,0)</f>
        <v>60</v>
      </c>
      <c r="O58" s="1" t="n">
        <f aca="false">IFERROR(MAX('Chart Data'!O$25:O$46)-'Chart Data'!O32,0)</f>
        <v>60</v>
      </c>
      <c r="P58" s="1" t="n">
        <f aca="false">IFERROR(MAX('Chart Data'!P$25:P$46)-'Chart Data'!P32,0)</f>
        <v>60</v>
      </c>
      <c r="Q58" s="1" t="n">
        <f aca="false">IFERROR(MAX('Chart Data'!Q$25:Q$46)-'Chart Data'!Q32,0)</f>
        <v>60</v>
      </c>
      <c r="R58" s="1" t="n">
        <f aca="false">IFERROR(MAX('Chart Data'!R$25:R$46)-'Chart Data'!R32,0)</f>
        <v>44</v>
      </c>
      <c r="S58" s="1" t="n">
        <f aca="false">IFERROR(MAX('Chart Data'!S$25:S$46)-'Chart Data'!S32,0)</f>
        <v>44</v>
      </c>
      <c r="T58" s="1" t="n">
        <f aca="false">IFERROR(MAX('Chart Data'!T$25:T$46)-'Chart Data'!T32,0)</f>
        <v>44</v>
      </c>
      <c r="U58" s="1" t="n">
        <f aca="false">IFERROR(MAX('Chart Data'!U$25:U$46)-'Chart Data'!U32,0)</f>
        <v>44</v>
      </c>
      <c r="V58" s="1" t="n">
        <f aca="false">IFERROR(MAX('Chart Data'!V$25:V$46)-'Chart Data'!V32,0)</f>
        <v>44</v>
      </c>
      <c r="W58" s="1" t="n">
        <f aca="false">IFERROR(MAX('Chart Data'!W$25:W$46)-'Chart Data'!W32,0)</f>
        <v>44</v>
      </c>
      <c r="X58" s="1" t="n">
        <f aca="false">IFERROR(MAX('Chart Data'!X$25:X$46)-'Chart Data'!X32,0)</f>
        <v>44</v>
      </c>
      <c r="Y58" s="1" t="n">
        <f aca="false">IFERROR(MAX('Chart Data'!Y$25:Y$46)-'Chart Data'!Y32,0)</f>
        <v>44</v>
      </c>
    </row>
    <row r="59" customFormat="false" ht="14.25" hidden="false" customHeight="true" outlineLevel="0" collapsed="false">
      <c r="A59" s="1" t="s">
        <v>61</v>
      </c>
      <c r="B59" s="1" t="n">
        <f aca="false">IFERROR(MAX('Chart Data'!B$25:B$46)-'Chart Data'!B33,0)</f>
        <v>25</v>
      </c>
      <c r="C59" s="1" t="n">
        <f aca="false">IFERROR(MAX('Chart Data'!C$25:C$46)-'Chart Data'!C33,0)</f>
        <v>43</v>
      </c>
      <c r="D59" s="1" t="n">
        <f aca="false">IFERROR(MAX('Chart Data'!D$25:D$46)-'Chart Data'!D33,0)</f>
        <v>62</v>
      </c>
      <c r="E59" s="1" t="n">
        <f aca="false">IFERROR(MAX('Chart Data'!E$25:E$46)-'Chart Data'!E33,0)</f>
        <v>62</v>
      </c>
      <c r="F59" s="1" t="n">
        <f aca="false">IFERROR(MAX('Chart Data'!F$25:F$46)-'Chart Data'!F33,0)</f>
        <v>62</v>
      </c>
      <c r="G59" s="1" t="n">
        <f aca="false">IFERROR(MAX('Chart Data'!G$25:G$46)-'Chart Data'!G33,0)</f>
        <v>62</v>
      </c>
      <c r="H59" s="1" t="n">
        <f aca="false">IFERROR(MAX('Chart Data'!H$25:H$46)-'Chart Data'!H33,0)</f>
        <v>62</v>
      </c>
      <c r="I59" s="1" t="n">
        <f aca="false">IFERROR(MAX('Chart Data'!I$25:I$46)-'Chart Data'!I33,0)</f>
        <v>62</v>
      </c>
      <c r="J59" s="1" t="n">
        <f aca="false">IFERROR(MAX('Chart Data'!J$25:J$46)-'Chart Data'!J33,0)</f>
        <v>62</v>
      </c>
      <c r="K59" s="1" t="n">
        <f aca="false">IFERROR(MAX('Chart Data'!K$25:K$46)-'Chart Data'!K33,0)</f>
        <v>62</v>
      </c>
      <c r="L59" s="1" t="n">
        <f aca="false">IFERROR(MAX('Chart Data'!L$25:L$46)-'Chart Data'!L33,0)</f>
        <v>62</v>
      </c>
      <c r="M59" s="1" t="n">
        <f aca="false">IFERROR(MAX('Chart Data'!M$25:M$46)-'Chart Data'!M33,0)</f>
        <v>62</v>
      </c>
      <c r="N59" s="1" t="n">
        <f aca="false">IFERROR(MAX('Chart Data'!N$25:N$46)-'Chart Data'!N33,0)</f>
        <v>62</v>
      </c>
      <c r="O59" s="1" t="n">
        <f aca="false">IFERROR(MAX('Chart Data'!O$25:O$46)-'Chart Data'!O33,0)</f>
        <v>62</v>
      </c>
      <c r="P59" s="1" t="n">
        <f aca="false">IFERROR(MAX('Chart Data'!P$25:P$46)-'Chart Data'!P33,0)</f>
        <v>62</v>
      </c>
      <c r="Q59" s="1" t="n">
        <f aca="false">IFERROR(MAX('Chart Data'!Q$25:Q$46)-'Chart Data'!Q33,0)</f>
        <v>62</v>
      </c>
      <c r="R59" s="1" t="n">
        <f aca="false">IFERROR(MAX('Chart Data'!R$25:R$46)-'Chart Data'!R33,0)</f>
        <v>44</v>
      </c>
      <c r="S59" s="1" t="n">
        <f aca="false">IFERROR(MAX('Chart Data'!S$25:S$46)-'Chart Data'!S33,0)</f>
        <v>44</v>
      </c>
      <c r="T59" s="1" t="n">
        <f aca="false">IFERROR(MAX('Chart Data'!T$25:T$46)-'Chart Data'!T33,0)</f>
        <v>44</v>
      </c>
      <c r="U59" s="1" t="n">
        <f aca="false">IFERROR(MAX('Chart Data'!U$25:U$46)-'Chart Data'!U33,0)</f>
        <v>44</v>
      </c>
      <c r="V59" s="1" t="n">
        <f aca="false">IFERROR(MAX('Chart Data'!V$25:V$46)-'Chart Data'!V33,0)</f>
        <v>44</v>
      </c>
      <c r="W59" s="1" t="n">
        <f aca="false">IFERROR(MAX('Chart Data'!W$25:W$46)-'Chart Data'!W33,0)</f>
        <v>44</v>
      </c>
      <c r="X59" s="1" t="n">
        <f aca="false">IFERROR(MAX('Chart Data'!X$25:X$46)-'Chart Data'!X33,0)</f>
        <v>44</v>
      </c>
      <c r="Y59" s="1" t="n">
        <f aca="false">IFERROR(MAX('Chart Data'!Y$25:Y$46)-'Chart Data'!Y33,0)</f>
        <v>44</v>
      </c>
    </row>
    <row r="60" customFormat="false" ht="14.25" hidden="false" customHeight="true" outlineLevel="0" collapsed="false">
      <c r="A60" s="1" t="s">
        <v>62</v>
      </c>
      <c r="B60" s="1" t="n">
        <f aca="false">IFERROR(MAX('Chart Data'!B$25:B$46)-'Chart Data'!B34,0)</f>
        <v>25</v>
      </c>
      <c r="C60" s="1" t="n">
        <f aca="false">IFERROR(MAX('Chart Data'!C$25:C$46)-'Chart Data'!C34,0)</f>
        <v>47</v>
      </c>
      <c r="D60" s="1" t="n">
        <f aca="false">IFERROR(MAX('Chart Data'!D$25:D$46)-'Chart Data'!D34,0)</f>
        <v>68</v>
      </c>
      <c r="E60" s="1" t="n">
        <f aca="false">IFERROR(MAX('Chart Data'!E$25:E$46)-'Chart Data'!E34,0)</f>
        <v>68</v>
      </c>
      <c r="F60" s="1" t="n">
        <f aca="false">IFERROR(MAX('Chart Data'!F$25:F$46)-'Chart Data'!F34,0)</f>
        <v>68</v>
      </c>
      <c r="G60" s="1" t="n">
        <f aca="false">IFERROR(MAX('Chart Data'!G$25:G$46)-'Chart Data'!G34,0)</f>
        <v>68</v>
      </c>
      <c r="H60" s="1" t="n">
        <f aca="false">IFERROR(MAX('Chart Data'!H$25:H$46)-'Chart Data'!H34,0)</f>
        <v>68</v>
      </c>
      <c r="I60" s="1" t="n">
        <f aca="false">IFERROR(MAX('Chart Data'!I$25:I$46)-'Chart Data'!I34,0)</f>
        <v>68</v>
      </c>
      <c r="J60" s="1" t="n">
        <f aca="false">IFERROR(MAX('Chart Data'!J$25:J$46)-'Chart Data'!J34,0)</f>
        <v>68</v>
      </c>
      <c r="K60" s="1" t="n">
        <f aca="false">IFERROR(MAX('Chart Data'!K$25:K$46)-'Chart Data'!K34,0)</f>
        <v>68</v>
      </c>
      <c r="L60" s="1" t="n">
        <f aca="false">IFERROR(MAX('Chart Data'!L$25:L$46)-'Chart Data'!L34,0)</f>
        <v>68</v>
      </c>
      <c r="M60" s="1" t="n">
        <f aca="false">IFERROR(MAX('Chart Data'!M$25:M$46)-'Chart Data'!M34,0)</f>
        <v>68</v>
      </c>
      <c r="N60" s="1" t="n">
        <f aca="false">IFERROR(MAX('Chart Data'!N$25:N$46)-'Chart Data'!N34,0)</f>
        <v>68</v>
      </c>
      <c r="O60" s="1" t="n">
        <f aca="false">IFERROR(MAX('Chart Data'!O$25:O$46)-'Chart Data'!O34,0)</f>
        <v>68</v>
      </c>
      <c r="P60" s="1" t="n">
        <f aca="false">IFERROR(MAX('Chart Data'!P$25:P$46)-'Chart Data'!P34,0)</f>
        <v>68</v>
      </c>
      <c r="Q60" s="1" t="n">
        <f aca="false">IFERROR(MAX('Chart Data'!Q$25:Q$46)-'Chart Data'!Q34,0)</f>
        <v>68</v>
      </c>
      <c r="R60" s="1" t="n">
        <f aca="false">IFERROR(MAX('Chart Data'!R$25:R$46)-'Chart Data'!R34,0)</f>
        <v>48</v>
      </c>
      <c r="S60" s="1" t="n">
        <f aca="false">IFERROR(MAX('Chart Data'!S$25:S$46)-'Chart Data'!S34,0)</f>
        <v>48</v>
      </c>
      <c r="T60" s="1" t="n">
        <f aca="false">IFERROR(MAX('Chart Data'!T$25:T$46)-'Chart Data'!T34,0)</f>
        <v>48</v>
      </c>
      <c r="U60" s="1" t="n">
        <f aca="false">IFERROR(MAX('Chart Data'!U$25:U$46)-'Chart Data'!U34,0)</f>
        <v>48</v>
      </c>
      <c r="V60" s="1" t="n">
        <f aca="false">IFERROR(MAX('Chart Data'!V$25:V$46)-'Chart Data'!V34,0)</f>
        <v>48</v>
      </c>
      <c r="W60" s="1" t="n">
        <f aca="false">IFERROR(MAX('Chart Data'!W$25:W$46)-'Chart Data'!W34,0)</f>
        <v>48</v>
      </c>
      <c r="X60" s="1" t="n">
        <f aca="false">IFERROR(MAX('Chart Data'!X$25:X$46)-'Chart Data'!X34,0)</f>
        <v>48</v>
      </c>
      <c r="Y60" s="1" t="n">
        <f aca="false">IFERROR(MAX('Chart Data'!Y$25:Y$46)-'Chart Data'!Y34,0)</f>
        <v>48</v>
      </c>
    </row>
    <row r="61" customFormat="false" ht="14.25" hidden="false" customHeight="true" outlineLevel="0" collapsed="false">
      <c r="A61" s="1" t="s">
        <v>55</v>
      </c>
      <c r="B61" s="1" t="n">
        <f aca="false">IFERROR(MAX('Chart Data'!B$25:B$46)-'Chart Data'!B35,0)</f>
        <v>21</v>
      </c>
      <c r="C61" s="1" t="n">
        <f aca="false">IFERROR(MAX('Chart Data'!C$25:C$46)-'Chart Data'!C35,0)</f>
        <v>47</v>
      </c>
      <c r="D61" s="1" t="n">
        <f aca="false">IFERROR(MAX('Chart Data'!D$25:D$46)-'Chart Data'!D35,0)</f>
        <v>68</v>
      </c>
      <c r="E61" s="1" t="n">
        <f aca="false">IFERROR(MAX('Chart Data'!E$25:E$46)-'Chart Data'!E35,0)</f>
        <v>68</v>
      </c>
      <c r="F61" s="1" t="n">
        <f aca="false">IFERROR(MAX('Chart Data'!F$25:F$46)-'Chart Data'!F35,0)</f>
        <v>68</v>
      </c>
      <c r="G61" s="1" t="n">
        <f aca="false">IFERROR(MAX('Chart Data'!G$25:G$46)-'Chart Data'!G35,0)</f>
        <v>68</v>
      </c>
      <c r="H61" s="1" t="n">
        <f aca="false">IFERROR(MAX('Chart Data'!H$25:H$46)-'Chart Data'!H35,0)</f>
        <v>68</v>
      </c>
      <c r="I61" s="1" t="n">
        <f aca="false">IFERROR(MAX('Chart Data'!I$25:I$46)-'Chart Data'!I35,0)</f>
        <v>68</v>
      </c>
      <c r="J61" s="1" t="n">
        <f aca="false">IFERROR(MAX('Chart Data'!J$25:J$46)-'Chart Data'!J35,0)</f>
        <v>68</v>
      </c>
      <c r="K61" s="1" t="n">
        <f aca="false">IFERROR(MAX('Chart Data'!K$25:K$46)-'Chart Data'!K35,0)</f>
        <v>68</v>
      </c>
      <c r="L61" s="1" t="n">
        <f aca="false">IFERROR(MAX('Chart Data'!L$25:L$46)-'Chart Data'!L35,0)</f>
        <v>68</v>
      </c>
      <c r="M61" s="1" t="n">
        <f aca="false">IFERROR(MAX('Chart Data'!M$25:M$46)-'Chart Data'!M35,0)</f>
        <v>68</v>
      </c>
      <c r="N61" s="1" t="n">
        <f aca="false">IFERROR(MAX('Chart Data'!N$25:N$46)-'Chart Data'!N35,0)</f>
        <v>68</v>
      </c>
      <c r="O61" s="1" t="n">
        <f aca="false">IFERROR(MAX('Chart Data'!O$25:O$46)-'Chart Data'!O35,0)</f>
        <v>68</v>
      </c>
      <c r="P61" s="1" t="n">
        <f aca="false">IFERROR(MAX('Chart Data'!P$25:P$46)-'Chart Data'!P35,0)</f>
        <v>68</v>
      </c>
      <c r="Q61" s="1" t="n">
        <f aca="false">IFERROR(MAX('Chart Data'!Q$25:Q$46)-'Chart Data'!Q35,0)</f>
        <v>68</v>
      </c>
      <c r="R61" s="1" t="n">
        <f aca="false">IFERROR(MAX('Chart Data'!R$25:R$46)-'Chart Data'!R35,0)</f>
        <v>48</v>
      </c>
      <c r="S61" s="1" t="n">
        <f aca="false">IFERROR(MAX('Chart Data'!S$25:S$46)-'Chart Data'!S35,0)</f>
        <v>48</v>
      </c>
      <c r="T61" s="1" t="n">
        <f aca="false">IFERROR(MAX('Chart Data'!T$25:T$46)-'Chart Data'!T35,0)</f>
        <v>48</v>
      </c>
      <c r="U61" s="1" t="n">
        <f aca="false">IFERROR(MAX('Chart Data'!U$25:U$46)-'Chart Data'!U35,0)</f>
        <v>48</v>
      </c>
      <c r="V61" s="1" t="n">
        <f aca="false">IFERROR(MAX('Chart Data'!V$25:V$46)-'Chart Data'!V35,0)</f>
        <v>48</v>
      </c>
      <c r="W61" s="1" t="n">
        <f aca="false">IFERROR(MAX('Chart Data'!W$25:W$46)-'Chart Data'!W35,0)</f>
        <v>48</v>
      </c>
      <c r="X61" s="1" t="n">
        <f aca="false">IFERROR(MAX('Chart Data'!X$25:X$46)-'Chart Data'!X35,0)</f>
        <v>48</v>
      </c>
      <c r="Y61" s="1" t="n">
        <f aca="false">IFERROR(MAX('Chart Data'!Y$25:Y$46)-'Chart Data'!Y35,0)</f>
        <v>48</v>
      </c>
    </row>
    <row r="62" customFormat="false" ht="14.25" hidden="false" customHeight="true" outlineLevel="0" collapsed="false">
      <c r="A62" s="1" t="s">
        <v>68</v>
      </c>
      <c r="B62" s="1" t="n">
        <f aca="false">IFERROR(MAX('Chart Data'!B$25:B$46)-'Chart Data'!B36,0)</f>
        <v>25</v>
      </c>
      <c r="C62" s="1" t="n">
        <f aca="false">IFERROR(MAX('Chart Data'!C$25:C$46)-'Chart Data'!C36,0)</f>
        <v>48</v>
      </c>
      <c r="D62" s="1" t="n">
        <f aca="false">IFERROR(MAX('Chart Data'!D$25:D$46)-'Chart Data'!D36,0)</f>
        <v>51</v>
      </c>
      <c r="E62" s="1" t="n">
        <f aca="false">IFERROR(MAX('Chart Data'!E$25:E$46)-'Chart Data'!E36,0)</f>
        <v>51</v>
      </c>
      <c r="F62" s="1" t="n">
        <f aca="false">IFERROR(MAX('Chart Data'!F$25:F$46)-'Chart Data'!F36,0)</f>
        <v>51</v>
      </c>
      <c r="G62" s="1" t="n">
        <f aca="false">IFERROR(MAX('Chart Data'!G$25:G$46)-'Chart Data'!G36,0)</f>
        <v>51</v>
      </c>
      <c r="H62" s="1" t="n">
        <f aca="false">IFERROR(MAX('Chart Data'!H$25:H$46)-'Chart Data'!H36,0)</f>
        <v>51</v>
      </c>
      <c r="I62" s="1" t="n">
        <f aca="false">IFERROR(MAX('Chart Data'!I$25:I$46)-'Chart Data'!I36,0)</f>
        <v>51</v>
      </c>
      <c r="J62" s="1" t="n">
        <f aca="false">IFERROR(MAX('Chart Data'!J$25:J$46)-'Chart Data'!J36,0)</f>
        <v>51</v>
      </c>
      <c r="K62" s="1" t="n">
        <f aca="false">IFERROR(MAX('Chart Data'!K$25:K$46)-'Chart Data'!K36,0)</f>
        <v>51</v>
      </c>
      <c r="L62" s="1" t="n">
        <f aca="false">IFERROR(MAX('Chart Data'!L$25:L$46)-'Chart Data'!L36,0)</f>
        <v>51</v>
      </c>
      <c r="M62" s="1" t="n">
        <f aca="false">IFERROR(MAX('Chart Data'!M$25:M$46)-'Chart Data'!M36,0)</f>
        <v>51</v>
      </c>
      <c r="N62" s="1" t="n">
        <f aca="false">IFERROR(MAX('Chart Data'!N$25:N$46)-'Chart Data'!N36,0)</f>
        <v>51</v>
      </c>
      <c r="O62" s="1" t="n">
        <f aca="false">IFERROR(MAX('Chart Data'!O$25:O$46)-'Chart Data'!O36,0)</f>
        <v>51</v>
      </c>
      <c r="P62" s="1" t="n">
        <f aca="false">IFERROR(MAX('Chart Data'!P$25:P$46)-'Chart Data'!P36,0)</f>
        <v>51</v>
      </c>
      <c r="Q62" s="1" t="n">
        <f aca="false">IFERROR(MAX('Chart Data'!Q$25:Q$46)-'Chart Data'!Q36,0)</f>
        <v>51</v>
      </c>
      <c r="R62" s="1" t="n">
        <f aca="false">IFERROR(MAX('Chart Data'!R$25:R$46)-'Chart Data'!R36,0)</f>
        <v>49</v>
      </c>
      <c r="S62" s="1" t="n">
        <f aca="false">IFERROR(MAX('Chart Data'!S$25:S$46)-'Chart Data'!S36,0)</f>
        <v>49</v>
      </c>
      <c r="T62" s="1" t="n">
        <f aca="false">IFERROR(MAX('Chart Data'!T$25:T$46)-'Chart Data'!T36,0)</f>
        <v>49</v>
      </c>
      <c r="U62" s="1" t="n">
        <f aca="false">IFERROR(MAX('Chart Data'!U$25:U$46)-'Chart Data'!U36,0)</f>
        <v>49</v>
      </c>
      <c r="V62" s="1" t="n">
        <f aca="false">IFERROR(MAX('Chart Data'!V$25:V$46)-'Chart Data'!V36,0)</f>
        <v>49</v>
      </c>
      <c r="W62" s="1" t="n">
        <f aca="false">IFERROR(MAX('Chart Data'!W$25:W$46)-'Chart Data'!W36,0)</f>
        <v>49</v>
      </c>
      <c r="X62" s="1" t="n">
        <f aca="false">IFERROR(MAX('Chart Data'!X$25:X$46)-'Chart Data'!X36,0)</f>
        <v>49</v>
      </c>
      <c r="Y62" s="1" t="n">
        <f aca="false">IFERROR(MAX('Chart Data'!Y$25:Y$46)-'Chart Data'!Y36,0)</f>
        <v>49</v>
      </c>
    </row>
    <row r="63" customFormat="false" ht="14.25" hidden="false" customHeight="true" outlineLevel="0" collapsed="false">
      <c r="A63" s="1" t="s">
        <v>63</v>
      </c>
      <c r="B63" s="1" t="n">
        <f aca="false">IFERROR(MAX('Chart Data'!B$25:B$46)-'Chart Data'!B37,0)</f>
        <v>25</v>
      </c>
      <c r="C63" s="1" t="n">
        <f aca="false">IFERROR(MAX('Chart Data'!C$25:C$46)-'Chart Data'!C37,0)</f>
        <v>49</v>
      </c>
      <c r="D63" s="1" t="n">
        <f aca="false">IFERROR(MAX('Chart Data'!D$25:D$46)-'Chart Data'!D37,0)</f>
        <v>70</v>
      </c>
      <c r="E63" s="1" t="n">
        <f aca="false">IFERROR(MAX('Chart Data'!E$25:E$46)-'Chart Data'!E37,0)</f>
        <v>70</v>
      </c>
      <c r="F63" s="1" t="n">
        <f aca="false">IFERROR(MAX('Chart Data'!F$25:F$46)-'Chart Data'!F37,0)</f>
        <v>70</v>
      </c>
      <c r="G63" s="1" t="n">
        <f aca="false">IFERROR(MAX('Chart Data'!G$25:G$46)-'Chart Data'!G37,0)</f>
        <v>70</v>
      </c>
      <c r="H63" s="1" t="n">
        <f aca="false">IFERROR(MAX('Chart Data'!H$25:H$46)-'Chart Data'!H37,0)</f>
        <v>70</v>
      </c>
      <c r="I63" s="1" t="n">
        <f aca="false">IFERROR(MAX('Chart Data'!I$25:I$46)-'Chart Data'!I37,0)</f>
        <v>70</v>
      </c>
      <c r="J63" s="1" t="n">
        <f aca="false">IFERROR(MAX('Chart Data'!J$25:J$46)-'Chart Data'!J37,0)</f>
        <v>70</v>
      </c>
      <c r="K63" s="1" t="n">
        <f aca="false">IFERROR(MAX('Chart Data'!K$25:K$46)-'Chart Data'!K37,0)</f>
        <v>70</v>
      </c>
      <c r="L63" s="1" t="n">
        <f aca="false">IFERROR(MAX('Chart Data'!L$25:L$46)-'Chart Data'!L37,0)</f>
        <v>70</v>
      </c>
      <c r="M63" s="1" t="n">
        <f aca="false">IFERROR(MAX('Chart Data'!M$25:M$46)-'Chart Data'!M37,0)</f>
        <v>70</v>
      </c>
      <c r="N63" s="1" t="n">
        <f aca="false">IFERROR(MAX('Chart Data'!N$25:N$46)-'Chart Data'!N37,0)</f>
        <v>70</v>
      </c>
      <c r="O63" s="1" t="n">
        <f aca="false">IFERROR(MAX('Chart Data'!O$25:O$46)-'Chart Data'!O37,0)</f>
        <v>70</v>
      </c>
      <c r="P63" s="1" t="n">
        <f aca="false">IFERROR(MAX('Chart Data'!P$25:P$46)-'Chart Data'!P37,0)</f>
        <v>70</v>
      </c>
      <c r="Q63" s="1" t="n">
        <f aca="false">IFERROR(MAX('Chart Data'!Q$25:Q$46)-'Chart Data'!Q37,0)</f>
        <v>70</v>
      </c>
      <c r="R63" s="1" t="n">
        <f aca="false">IFERROR(MAX('Chart Data'!R$25:R$46)-'Chart Data'!R37,0)</f>
        <v>50</v>
      </c>
      <c r="S63" s="1" t="n">
        <f aca="false">IFERROR(MAX('Chart Data'!S$25:S$46)-'Chart Data'!S37,0)</f>
        <v>50</v>
      </c>
      <c r="T63" s="1" t="n">
        <f aca="false">IFERROR(MAX('Chart Data'!T$25:T$46)-'Chart Data'!T37,0)</f>
        <v>50</v>
      </c>
      <c r="U63" s="1" t="n">
        <f aca="false">IFERROR(MAX('Chart Data'!U$25:U$46)-'Chart Data'!U37,0)</f>
        <v>50</v>
      </c>
      <c r="V63" s="1" t="n">
        <f aca="false">IFERROR(MAX('Chart Data'!V$25:V$46)-'Chart Data'!V37,0)</f>
        <v>50</v>
      </c>
      <c r="W63" s="1" t="n">
        <f aca="false">IFERROR(MAX('Chart Data'!W$25:W$46)-'Chart Data'!W37,0)</f>
        <v>50</v>
      </c>
      <c r="X63" s="1" t="n">
        <f aca="false">IFERROR(MAX('Chart Data'!X$25:X$46)-'Chart Data'!X37,0)</f>
        <v>50</v>
      </c>
      <c r="Y63" s="1" t="n">
        <f aca="false">IFERROR(MAX('Chart Data'!Y$25:Y$46)-'Chart Data'!Y37,0)</f>
        <v>50</v>
      </c>
    </row>
    <row r="64" customFormat="false" ht="14.25" hidden="false" customHeight="true" outlineLevel="0" collapsed="false">
      <c r="A64" s="1" t="s">
        <v>56</v>
      </c>
      <c r="B64" s="1" t="n">
        <f aca="false">IFERROR(MAX('Chart Data'!B$25:B$46)-'Chart Data'!B38,0)</f>
        <v>23</v>
      </c>
      <c r="C64" s="1" t="n">
        <f aca="false">IFERROR(MAX('Chart Data'!C$25:C$46)-'Chart Data'!C38,0)</f>
        <v>49</v>
      </c>
      <c r="D64" s="1" t="n">
        <f aca="false">IFERROR(MAX('Chart Data'!D$25:D$46)-'Chart Data'!D38,0)</f>
        <v>70</v>
      </c>
      <c r="E64" s="1" t="n">
        <f aca="false">IFERROR(MAX('Chart Data'!E$25:E$46)-'Chart Data'!E38,0)</f>
        <v>70</v>
      </c>
      <c r="F64" s="1" t="n">
        <f aca="false">IFERROR(MAX('Chart Data'!F$25:F$46)-'Chart Data'!F38,0)</f>
        <v>70</v>
      </c>
      <c r="G64" s="1" t="n">
        <f aca="false">IFERROR(MAX('Chart Data'!G$25:G$46)-'Chart Data'!G38,0)</f>
        <v>70</v>
      </c>
      <c r="H64" s="1" t="n">
        <f aca="false">IFERROR(MAX('Chart Data'!H$25:H$46)-'Chart Data'!H38,0)</f>
        <v>70</v>
      </c>
      <c r="I64" s="1" t="n">
        <f aca="false">IFERROR(MAX('Chart Data'!I$25:I$46)-'Chart Data'!I38,0)</f>
        <v>70</v>
      </c>
      <c r="J64" s="1" t="n">
        <f aca="false">IFERROR(MAX('Chart Data'!J$25:J$46)-'Chart Data'!J38,0)</f>
        <v>70</v>
      </c>
      <c r="K64" s="1" t="n">
        <f aca="false">IFERROR(MAX('Chart Data'!K$25:K$46)-'Chart Data'!K38,0)</f>
        <v>70</v>
      </c>
      <c r="L64" s="1" t="n">
        <f aca="false">IFERROR(MAX('Chart Data'!L$25:L$46)-'Chart Data'!L38,0)</f>
        <v>70</v>
      </c>
      <c r="M64" s="1" t="n">
        <f aca="false">IFERROR(MAX('Chart Data'!M$25:M$46)-'Chart Data'!M38,0)</f>
        <v>70</v>
      </c>
      <c r="N64" s="1" t="n">
        <f aca="false">IFERROR(MAX('Chart Data'!N$25:N$46)-'Chart Data'!N38,0)</f>
        <v>70</v>
      </c>
      <c r="O64" s="1" t="n">
        <f aca="false">IFERROR(MAX('Chart Data'!O$25:O$46)-'Chart Data'!O38,0)</f>
        <v>70</v>
      </c>
      <c r="P64" s="1" t="n">
        <f aca="false">IFERROR(MAX('Chart Data'!P$25:P$46)-'Chart Data'!P38,0)</f>
        <v>70</v>
      </c>
      <c r="Q64" s="1" t="n">
        <f aca="false">IFERROR(MAX('Chart Data'!Q$25:Q$46)-'Chart Data'!Q38,0)</f>
        <v>70</v>
      </c>
      <c r="R64" s="1" t="n">
        <f aca="false">IFERROR(MAX('Chart Data'!R$25:R$46)-'Chart Data'!R38,0)</f>
        <v>50</v>
      </c>
      <c r="S64" s="1" t="n">
        <f aca="false">IFERROR(MAX('Chart Data'!S$25:S$46)-'Chart Data'!S38,0)</f>
        <v>50</v>
      </c>
      <c r="T64" s="1" t="n">
        <f aca="false">IFERROR(MAX('Chart Data'!T$25:T$46)-'Chart Data'!T38,0)</f>
        <v>50</v>
      </c>
      <c r="U64" s="1" t="n">
        <f aca="false">IFERROR(MAX('Chart Data'!U$25:U$46)-'Chart Data'!U38,0)</f>
        <v>50</v>
      </c>
      <c r="V64" s="1" t="n">
        <f aca="false">IFERROR(MAX('Chart Data'!V$25:V$46)-'Chart Data'!V38,0)</f>
        <v>50</v>
      </c>
      <c r="W64" s="1" t="n">
        <f aca="false">IFERROR(MAX('Chart Data'!W$25:W$46)-'Chart Data'!W38,0)</f>
        <v>50</v>
      </c>
      <c r="X64" s="1" t="n">
        <f aca="false">IFERROR(MAX('Chart Data'!X$25:X$46)-'Chart Data'!X38,0)</f>
        <v>50</v>
      </c>
      <c r="Y64" s="1" t="n">
        <f aca="false">IFERROR(MAX('Chart Data'!Y$25:Y$46)-'Chart Data'!Y38,0)</f>
        <v>50</v>
      </c>
    </row>
    <row r="65" customFormat="false" ht="14.25" hidden="false" customHeight="true" outlineLevel="0" collapsed="false">
      <c r="A65" s="1" t="s">
        <v>64</v>
      </c>
      <c r="B65" s="1" t="n">
        <f aca="false">IFERROR(MAX('Chart Data'!B$25:B$46)-'Chart Data'!B39,0)</f>
        <v>25</v>
      </c>
      <c r="C65" s="1" t="n">
        <f aca="false">IFERROR(MAX('Chart Data'!C$25:C$46)-'Chart Data'!C39,0)</f>
        <v>50</v>
      </c>
      <c r="D65" s="1" t="n">
        <f aca="false">IFERROR(MAX('Chart Data'!D$25:D$46)-'Chart Data'!D39,0)</f>
        <v>71</v>
      </c>
      <c r="E65" s="1" t="n">
        <f aca="false">IFERROR(MAX('Chart Data'!E$25:E$46)-'Chart Data'!E39,0)</f>
        <v>71</v>
      </c>
      <c r="F65" s="1" t="n">
        <f aca="false">IFERROR(MAX('Chart Data'!F$25:F$46)-'Chart Data'!F39,0)</f>
        <v>71</v>
      </c>
      <c r="G65" s="1" t="n">
        <f aca="false">IFERROR(MAX('Chart Data'!G$25:G$46)-'Chart Data'!G39,0)</f>
        <v>71</v>
      </c>
      <c r="H65" s="1" t="n">
        <f aca="false">IFERROR(MAX('Chart Data'!H$25:H$46)-'Chart Data'!H39,0)</f>
        <v>71</v>
      </c>
      <c r="I65" s="1" t="n">
        <f aca="false">IFERROR(MAX('Chart Data'!I$25:I$46)-'Chart Data'!I39,0)</f>
        <v>71</v>
      </c>
      <c r="J65" s="1" t="n">
        <f aca="false">IFERROR(MAX('Chart Data'!J$25:J$46)-'Chart Data'!J39,0)</f>
        <v>71</v>
      </c>
      <c r="K65" s="1" t="n">
        <f aca="false">IFERROR(MAX('Chart Data'!K$25:K$46)-'Chart Data'!K39,0)</f>
        <v>71</v>
      </c>
      <c r="L65" s="1" t="n">
        <f aca="false">IFERROR(MAX('Chart Data'!L$25:L$46)-'Chart Data'!L39,0)</f>
        <v>71</v>
      </c>
      <c r="M65" s="1" t="n">
        <f aca="false">IFERROR(MAX('Chart Data'!M$25:M$46)-'Chart Data'!M39,0)</f>
        <v>71</v>
      </c>
      <c r="N65" s="1" t="n">
        <f aca="false">IFERROR(MAX('Chart Data'!N$25:N$46)-'Chart Data'!N39,0)</f>
        <v>71</v>
      </c>
      <c r="O65" s="1" t="n">
        <f aca="false">IFERROR(MAX('Chart Data'!O$25:O$46)-'Chart Data'!O39,0)</f>
        <v>71</v>
      </c>
      <c r="P65" s="1" t="n">
        <f aca="false">IFERROR(MAX('Chart Data'!P$25:P$46)-'Chart Data'!P39,0)</f>
        <v>71</v>
      </c>
      <c r="Q65" s="1" t="n">
        <f aca="false">IFERROR(MAX('Chart Data'!Q$25:Q$46)-'Chart Data'!Q39,0)</f>
        <v>71</v>
      </c>
      <c r="R65" s="1" t="n">
        <f aca="false">IFERROR(MAX('Chart Data'!R$25:R$46)-'Chart Data'!R39,0)</f>
        <v>51</v>
      </c>
      <c r="S65" s="1" t="n">
        <f aca="false">IFERROR(MAX('Chart Data'!S$25:S$46)-'Chart Data'!S39,0)</f>
        <v>51</v>
      </c>
      <c r="T65" s="1" t="n">
        <f aca="false">IFERROR(MAX('Chart Data'!T$25:T$46)-'Chart Data'!T39,0)</f>
        <v>51</v>
      </c>
      <c r="U65" s="1" t="n">
        <f aca="false">IFERROR(MAX('Chart Data'!U$25:U$46)-'Chart Data'!U39,0)</f>
        <v>51</v>
      </c>
      <c r="V65" s="1" t="n">
        <f aca="false">IFERROR(MAX('Chart Data'!V$25:V$46)-'Chart Data'!V39,0)</f>
        <v>51</v>
      </c>
      <c r="W65" s="1" t="n">
        <f aca="false">IFERROR(MAX('Chart Data'!W$25:W$46)-'Chart Data'!W39,0)</f>
        <v>51</v>
      </c>
      <c r="X65" s="1" t="n">
        <f aca="false">IFERROR(MAX('Chart Data'!X$25:X$46)-'Chart Data'!X39,0)</f>
        <v>51</v>
      </c>
      <c r="Y65" s="1" t="n">
        <f aca="false">IFERROR(MAX('Chart Data'!Y$25:Y$46)-'Chart Data'!Y39,0)</f>
        <v>51</v>
      </c>
    </row>
    <row r="66" customFormat="false" ht="14.25" hidden="false" customHeight="true" outlineLevel="0" collapsed="false">
      <c r="A66" s="1" t="s">
        <v>111</v>
      </c>
      <c r="B66" s="1" t="n">
        <f aca="false">IFERROR(MAX('Chart Data'!B$25:B$46)-'Chart Data'!B40,0)</f>
        <v>25</v>
      </c>
      <c r="C66" s="1" t="n">
        <f aca="false">IFERROR(MAX('Chart Data'!C$25:C$46)-'Chart Data'!C40,0)</f>
        <v>51</v>
      </c>
      <c r="D66" s="1" t="n">
        <f aca="false">IFERROR(MAX('Chart Data'!D$25:D$46)-'Chart Data'!D40,0)</f>
        <v>72</v>
      </c>
      <c r="E66" s="1" t="n">
        <f aca="false">IFERROR(MAX('Chart Data'!E$25:E$46)-'Chart Data'!E40,0)</f>
        <v>72</v>
      </c>
      <c r="F66" s="1" t="n">
        <f aca="false">IFERROR(MAX('Chart Data'!F$25:F$46)-'Chart Data'!F40,0)</f>
        <v>72</v>
      </c>
      <c r="G66" s="1" t="n">
        <f aca="false">IFERROR(MAX('Chart Data'!G$25:G$46)-'Chart Data'!G40,0)</f>
        <v>72</v>
      </c>
      <c r="H66" s="1" t="n">
        <f aca="false">IFERROR(MAX('Chart Data'!H$25:H$46)-'Chart Data'!H40,0)</f>
        <v>72</v>
      </c>
      <c r="I66" s="1" t="n">
        <f aca="false">IFERROR(MAX('Chart Data'!I$25:I$46)-'Chart Data'!I40,0)</f>
        <v>72</v>
      </c>
      <c r="J66" s="1" t="n">
        <f aca="false">IFERROR(MAX('Chart Data'!J$25:J$46)-'Chart Data'!J40,0)</f>
        <v>72</v>
      </c>
      <c r="K66" s="1" t="n">
        <f aca="false">IFERROR(MAX('Chart Data'!K$25:K$46)-'Chart Data'!K40,0)</f>
        <v>72</v>
      </c>
      <c r="L66" s="1" t="n">
        <f aca="false">IFERROR(MAX('Chart Data'!L$25:L$46)-'Chart Data'!L40,0)</f>
        <v>72</v>
      </c>
      <c r="M66" s="1" t="n">
        <f aca="false">IFERROR(MAX('Chart Data'!M$25:M$46)-'Chart Data'!M40,0)</f>
        <v>72</v>
      </c>
      <c r="N66" s="1" t="n">
        <f aca="false">IFERROR(MAX('Chart Data'!N$25:N$46)-'Chart Data'!N40,0)</f>
        <v>72</v>
      </c>
      <c r="O66" s="1" t="n">
        <f aca="false">IFERROR(MAX('Chart Data'!O$25:O$46)-'Chart Data'!O40,0)</f>
        <v>72</v>
      </c>
      <c r="P66" s="1" t="n">
        <f aca="false">IFERROR(MAX('Chart Data'!P$25:P$46)-'Chart Data'!P40,0)</f>
        <v>72</v>
      </c>
      <c r="Q66" s="1" t="n">
        <f aca="false">IFERROR(MAX('Chart Data'!Q$25:Q$46)-'Chart Data'!Q40,0)</f>
        <v>72</v>
      </c>
      <c r="R66" s="1" t="n">
        <f aca="false">IFERROR(MAX('Chart Data'!R$25:R$46)-'Chart Data'!R40,0)</f>
        <v>52</v>
      </c>
      <c r="S66" s="1" t="n">
        <f aca="false">IFERROR(MAX('Chart Data'!S$25:S$46)-'Chart Data'!S40,0)</f>
        <v>52</v>
      </c>
      <c r="T66" s="1" t="n">
        <f aca="false">IFERROR(MAX('Chart Data'!T$25:T$46)-'Chart Data'!T40,0)</f>
        <v>52</v>
      </c>
      <c r="U66" s="1" t="n">
        <f aca="false">IFERROR(MAX('Chart Data'!U$25:U$46)-'Chart Data'!U40,0)</f>
        <v>52</v>
      </c>
      <c r="V66" s="1" t="n">
        <f aca="false">IFERROR(MAX('Chart Data'!V$25:V$46)-'Chart Data'!V40,0)</f>
        <v>52</v>
      </c>
      <c r="W66" s="1" t="n">
        <f aca="false">IFERROR(MAX('Chart Data'!W$25:W$46)-'Chart Data'!W40,0)</f>
        <v>52</v>
      </c>
      <c r="X66" s="1" t="n">
        <f aca="false">IFERROR(MAX('Chart Data'!X$25:X$46)-'Chart Data'!X40,0)</f>
        <v>52</v>
      </c>
      <c r="Y66" s="1" t="n">
        <f aca="false">IFERROR(MAX('Chart Data'!Y$25:Y$46)-'Chart Data'!Y40,0)</f>
        <v>52</v>
      </c>
    </row>
    <row r="67" customFormat="false" ht="14.25" hidden="false" customHeight="true" outlineLevel="0" collapsed="false">
      <c r="A67" s="1" t="s">
        <v>113</v>
      </c>
      <c r="B67" s="1" t="n">
        <f aca="false">IFERROR(MAX('Chart Data'!B$25:B$46)-'Chart Data'!B41,0)</f>
        <v>25</v>
      </c>
      <c r="C67" s="1" t="n">
        <f aca="false">IFERROR(MAX('Chart Data'!C$25:C$46)-'Chart Data'!C41,0)</f>
        <v>51</v>
      </c>
      <c r="D67" s="1" t="n">
        <f aca="false">IFERROR(MAX('Chart Data'!D$25:D$46)-'Chart Data'!D41,0)</f>
        <v>72</v>
      </c>
      <c r="E67" s="1" t="n">
        <f aca="false">IFERROR(MAX('Chart Data'!E$25:E$46)-'Chart Data'!E41,0)</f>
        <v>72</v>
      </c>
      <c r="F67" s="1" t="n">
        <f aca="false">IFERROR(MAX('Chart Data'!F$25:F$46)-'Chart Data'!F41,0)</f>
        <v>72</v>
      </c>
      <c r="G67" s="1" t="n">
        <f aca="false">IFERROR(MAX('Chart Data'!G$25:G$46)-'Chart Data'!G41,0)</f>
        <v>72</v>
      </c>
      <c r="H67" s="1" t="n">
        <f aca="false">IFERROR(MAX('Chart Data'!H$25:H$46)-'Chart Data'!H41,0)</f>
        <v>72</v>
      </c>
      <c r="I67" s="1" t="n">
        <f aca="false">IFERROR(MAX('Chart Data'!I$25:I$46)-'Chart Data'!I41,0)</f>
        <v>72</v>
      </c>
      <c r="J67" s="1" t="n">
        <f aca="false">IFERROR(MAX('Chart Data'!J$25:J$46)-'Chart Data'!J41,0)</f>
        <v>72</v>
      </c>
      <c r="K67" s="1" t="n">
        <f aca="false">IFERROR(MAX('Chart Data'!K$25:K$46)-'Chart Data'!K41,0)</f>
        <v>72</v>
      </c>
      <c r="L67" s="1" t="n">
        <f aca="false">IFERROR(MAX('Chart Data'!L$25:L$46)-'Chart Data'!L41,0)</f>
        <v>72</v>
      </c>
      <c r="M67" s="1" t="n">
        <f aca="false">IFERROR(MAX('Chart Data'!M$25:M$46)-'Chart Data'!M41,0)</f>
        <v>72</v>
      </c>
      <c r="N67" s="1" t="n">
        <f aca="false">IFERROR(MAX('Chart Data'!N$25:N$46)-'Chart Data'!N41,0)</f>
        <v>72</v>
      </c>
      <c r="O67" s="1" t="n">
        <f aca="false">IFERROR(MAX('Chart Data'!O$25:O$46)-'Chart Data'!O41,0)</f>
        <v>72</v>
      </c>
      <c r="P67" s="1" t="n">
        <f aca="false">IFERROR(MAX('Chart Data'!P$25:P$46)-'Chart Data'!P41,0)</f>
        <v>72</v>
      </c>
      <c r="Q67" s="1" t="n">
        <f aca="false">IFERROR(MAX('Chart Data'!Q$25:Q$46)-'Chart Data'!Q41,0)</f>
        <v>72</v>
      </c>
      <c r="R67" s="1" t="n">
        <f aca="false">IFERROR(MAX('Chart Data'!R$25:R$46)-'Chart Data'!R41,0)</f>
        <v>52</v>
      </c>
      <c r="S67" s="1" t="n">
        <f aca="false">IFERROR(MAX('Chart Data'!S$25:S$46)-'Chart Data'!S41,0)</f>
        <v>52</v>
      </c>
      <c r="T67" s="1" t="n">
        <f aca="false">IFERROR(MAX('Chart Data'!T$25:T$46)-'Chart Data'!T41,0)</f>
        <v>52</v>
      </c>
      <c r="U67" s="1" t="n">
        <f aca="false">IFERROR(MAX('Chart Data'!U$25:U$46)-'Chart Data'!U41,0)</f>
        <v>52</v>
      </c>
      <c r="V67" s="1" t="n">
        <f aca="false">IFERROR(MAX('Chart Data'!V$25:V$46)-'Chart Data'!V41,0)</f>
        <v>52</v>
      </c>
      <c r="W67" s="1" t="n">
        <f aca="false">IFERROR(MAX('Chart Data'!W$25:W$46)-'Chart Data'!W41,0)</f>
        <v>52</v>
      </c>
      <c r="X67" s="1" t="n">
        <f aca="false">IFERROR(MAX('Chart Data'!X$25:X$46)-'Chart Data'!X41,0)</f>
        <v>52</v>
      </c>
      <c r="Y67" s="1" t="n">
        <f aca="false">IFERROR(MAX('Chart Data'!Y$25:Y$46)-'Chart Data'!Y41,0)</f>
        <v>52</v>
      </c>
    </row>
    <row r="68" customFormat="false" ht="14.25" hidden="false" customHeight="true" outlineLevel="0" collapsed="false">
      <c r="A68" s="1" t="s">
        <v>114</v>
      </c>
      <c r="B68" s="1" t="n">
        <f aca="false">IFERROR(MAX('Chart Data'!B$25:B$46)-'Chart Data'!B42,0)</f>
        <v>25</v>
      </c>
      <c r="C68" s="1" t="n">
        <f aca="false">IFERROR(MAX('Chart Data'!C$25:C$46)-'Chart Data'!C42,0)</f>
        <v>51</v>
      </c>
      <c r="D68" s="1" t="n">
        <f aca="false">IFERROR(MAX('Chart Data'!D$25:D$46)-'Chart Data'!D42,0)</f>
        <v>72</v>
      </c>
      <c r="E68" s="1" t="n">
        <f aca="false">IFERROR(MAX('Chart Data'!E$25:E$46)-'Chart Data'!E42,0)</f>
        <v>72</v>
      </c>
      <c r="F68" s="1" t="n">
        <f aca="false">IFERROR(MAX('Chart Data'!F$25:F$46)-'Chart Data'!F42,0)</f>
        <v>72</v>
      </c>
      <c r="G68" s="1" t="n">
        <f aca="false">IFERROR(MAX('Chart Data'!G$25:G$46)-'Chart Data'!G42,0)</f>
        <v>72</v>
      </c>
      <c r="H68" s="1" t="n">
        <f aca="false">IFERROR(MAX('Chart Data'!H$25:H$46)-'Chart Data'!H42,0)</f>
        <v>72</v>
      </c>
      <c r="I68" s="1" t="n">
        <f aca="false">IFERROR(MAX('Chart Data'!I$25:I$46)-'Chart Data'!I42,0)</f>
        <v>72</v>
      </c>
      <c r="J68" s="1" t="n">
        <f aca="false">IFERROR(MAX('Chart Data'!J$25:J$46)-'Chart Data'!J42,0)</f>
        <v>72</v>
      </c>
      <c r="K68" s="1" t="n">
        <f aca="false">IFERROR(MAX('Chart Data'!K$25:K$46)-'Chart Data'!K42,0)</f>
        <v>72</v>
      </c>
      <c r="L68" s="1" t="n">
        <f aca="false">IFERROR(MAX('Chart Data'!L$25:L$46)-'Chart Data'!L42,0)</f>
        <v>72</v>
      </c>
      <c r="M68" s="1" t="n">
        <f aca="false">IFERROR(MAX('Chart Data'!M$25:M$46)-'Chart Data'!M42,0)</f>
        <v>72</v>
      </c>
      <c r="N68" s="1" t="n">
        <f aca="false">IFERROR(MAX('Chart Data'!N$25:N$46)-'Chart Data'!N42,0)</f>
        <v>72</v>
      </c>
      <c r="O68" s="1" t="n">
        <f aca="false">IFERROR(MAX('Chart Data'!O$25:O$46)-'Chart Data'!O42,0)</f>
        <v>72</v>
      </c>
      <c r="P68" s="1" t="n">
        <f aca="false">IFERROR(MAX('Chart Data'!P$25:P$46)-'Chart Data'!P42,0)</f>
        <v>72</v>
      </c>
      <c r="Q68" s="1" t="n">
        <f aca="false">IFERROR(MAX('Chart Data'!Q$25:Q$46)-'Chart Data'!Q42,0)</f>
        <v>72</v>
      </c>
      <c r="R68" s="1" t="n">
        <f aca="false">IFERROR(MAX('Chart Data'!R$25:R$46)-'Chart Data'!R42,0)</f>
        <v>52</v>
      </c>
      <c r="S68" s="1" t="n">
        <f aca="false">IFERROR(MAX('Chart Data'!S$25:S$46)-'Chart Data'!S42,0)</f>
        <v>52</v>
      </c>
      <c r="T68" s="1" t="n">
        <f aca="false">IFERROR(MAX('Chart Data'!T$25:T$46)-'Chart Data'!T42,0)</f>
        <v>52</v>
      </c>
      <c r="U68" s="1" t="n">
        <f aca="false">IFERROR(MAX('Chart Data'!U$25:U$46)-'Chart Data'!U42,0)</f>
        <v>52</v>
      </c>
      <c r="V68" s="1" t="n">
        <f aca="false">IFERROR(MAX('Chart Data'!V$25:V$46)-'Chart Data'!V42,0)</f>
        <v>52</v>
      </c>
      <c r="W68" s="1" t="n">
        <f aca="false">IFERROR(MAX('Chart Data'!W$25:W$46)-'Chart Data'!W42,0)</f>
        <v>52</v>
      </c>
      <c r="X68" s="1" t="n">
        <f aca="false">IFERROR(MAX('Chart Data'!X$25:X$46)-'Chart Data'!X42,0)</f>
        <v>52</v>
      </c>
      <c r="Y68" s="1" t="n">
        <f aca="false">IFERROR(MAX('Chart Data'!Y$25:Y$46)-'Chart Data'!Y42,0)</f>
        <v>52</v>
      </c>
    </row>
    <row r="69" customFormat="false" ht="14.25" hidden="false" customHeight="true" outlineLevel="0" collapsed="false">
      <c r="A69" s="1" t="s">
        <v>69</v>
      </c>
      <c r="B69" s="1" t="n">
        <f aca="false">IFERROR(MAX('Chart Data'!B$25:B$46)-'Chart Data'!B43,0)</f>
        <v>25</v>
      </c>
      <c r="C69" s="1" t="n">
        <f aca="false">IFERROR(MAX('Chart Data'!C$25:C$46)-'Chart Data'!C43,0)</f>
        <v>51</v>
      </c>
      <c r="D69" s="1" t="n">
        <f aca="false">IFERROR(MAX('Chart Data'!D$25:D$46)-'Chart Data'!D43,0)</f>
        <v>71</v>
      </c>
      <c r="E69" s="1" t="n">
        <f aca="false">IFERROR(MAX('Chart Data'!E$25:E$46)-'Chart Data'!E43,0)</f>
        <v>71</v>
      </c>
      <c r="F69" s="1" t="n">
        <f aca="false">IFERROR(MAX('Chart Data'!F$25:F$46)-'Chart Data'!F43,0)</f>
        <v>71</v>
      </c>
      <c r="G69" s="1" t="n">
        <f aca="false">IFERROR(MAX('Chart Data'!G$25:G$46)-'Chart Data'!G43,0)</f>
        <v>71</v>
      </c>
      <c r="H69" s="1" t="n">
        <f aca="false">IFERROR(MAX('Chart Data'!H$25:H$46)-'Chart Data'!H43,0)</f>
        <v>71</v>
      </c>
      <c r="I69" s="1" t="n">
        <f aca="false">IFERROR(MAX('Chart Data'!I$25:I$46)-'Chart Data'!I43,0)</f>
        <v>71</v>
      </c>
      <c r="J69" s="1" t="n">
        <f aca="false">IFERROR(MAX('Chart Data'!J$25:J$46)-'Chart Data'!J43,0)</f>
        <v>71</v>
      </c>
      <c r="K69" s="1" t="n">
        <f aca="false">IFERROR(MAX('Chart Data'!K$25:K$46)-'Chart Data'!K43,0)</f>
        <v>71</v>
      </c>
      <c r="L69" s="1" t="n">
        <f aca="false">IFERROR(MAX('Chart Data'!L$25:L$46)-'Chart Data'!L43,0)</f>
        <v>71</v>
      </c>
      <c r="M69" s="1" t="n">
        <f aca="false">IFERROR(MAX('Chart Data'!M$25:M$46)-'Chart Data'!M43,0)</f>
        <v>71</v>
      </c>
      <c r="N69" s="1" t="n">
        <f aca="false">IFERROR(MAX('Chart Data'!N$25:N$46)-'Chart Data'!N43,0)</f>
        <v>71</v>
      </c>
      <c r="O69" s="1" t="n">
        <f aca="false">IFERROR(MAX('Chart Data'!O$25:O$46)-'Chart Data'!O43,0)</f>
        <v>71</v>
      </c>
      <c r="P69" s="1" t="n">
        <f aca="false">IFERROR(MAX('Chart Data'!P$25:P$46)-'Chart Data'!P43,0)</f>
        <v>71</v>
      </c>
      <c r="Q69" s="1" t="n">
        <f aca="false">IFERROR(MAX('Chart Data'!Q$25:Q$46)-'Chart Data'!Q43,0)</f>
        <v>71</v>
      </c>
      <c r="R69" s="1" t="n">
        <f aca="false">IFERROR(MAX('Chart Data'!R$25:R$46)-'Chart Data'!R43,0)</f>
        <v>52</v>
      </c>
      <c r="S69" s="1" t="n">
        <f aca="false">IFERROR(MAX('Chart Data'!S$25:S$46)-'Chart Data'!S43,0)</f>
        <v>52</v>
      </c>
      <c r="T69" s="1" t="n">
        <f aca="false">IFERROR(MAX('Chart Data'!T$25:T$46)-'Chart Data'!T43,0)</f>
        <v>52</v>
      </c>
      <c r="U69" s="1" t="n">
        <f aca="false">IFERROR(MAX('Chart Data'!U$25:U$46)-'Chart Data'!U43,0)</f>
        <v>52</v>
      </c>
      <c r="V69" s="1" t="n">
        <f aca="false">IFERROR(MAX('Chart Data'!V$25:V$46)-'Chart Data'!V43,0)</f>
        <v>52</v>
      </c>
      <c r="W69" s="1" t="n">
        <f aca="false">IFERROR(MAX('Chart Data'!W$25:W$46)-'Chart Data'!W43,0)</f>
        <v>52</v>
      </c>
      <c r="X69" s="1" t="n">
        <f aca="false">IFERROR(MAX('Chart Data'!X$25:X$46)-'Chart Data'!X43,0)</f>
        <v>52</v>
      </c>
      <c r="Y69" s="1" t="n">
        <f aca="false">IFERROR(MAX('Chart Data'!Y$25:Y$46)-'Chart Data'!Y43,0)</f>
        <v>52</v>
      </c>
    </row>
    <row r="70" customFormat="false" ht="14.25" hidden="false" customHeight="true" outlineLevel="0" collapsed="false">
      <c r="A70" s="1" t="s">
        <v>115</v>
      </c>
      <c r="B70" s="1" t="n">
        <f aca="false">IFERROR(MAX('Chart Data'!B$25:B$46)-'Chart Data'!B44,0)</f>
        <v>25</v>
      </c>
      <c r="C70" s="1" t="n">
        <f aca="false">IFERROR(MAX('Chart Data'!C$25:C$46)-'Chart Data'!C44,0)</f>
        <v>51</v>
      </c>
      <c r="D70" s="1" t="n">
        <f aca="false">IFERROR(MAX('Chart Data'!D$25:D$46)-'Chart Data'!D44,0)</f>
        <v>72</v>
      </c>
      <c r="E70" s="1" t="n">
        <f aca="false">IFERROR(MAX('Chart Data'!E$25:E$46)-'Chart Data'!E44,0)</f>
        <v>72</v>
      </c>
      <c r="F70" s="1" t="n">
        <f aca="false">IFERROR(MAX('Chart Data'!F$25:F$46)-'Chart Data'!F44,0)</f>
        <v>72</v>
      </c>
      <c r="G70" s="1" t="n">
        <f aca="false">IFERROR(MAX('Chart Data'!G$25:G$46)-'Chart Data'!G44,0)</f>
        <v>72</v>
      </c>
      <c r="H70" s="1" t="n">
        <f aca="false">IFERROR(MAX('Chart Data'!H$25:H$46)-'Chart Data'!H44,0)</f>
        <v>72</v>
      </c>
      <c r="I70" s="1" t="n">
        <f aca="false">IFERROR(MAX('Chart Data'!I$25:I$46)-'Chart Data'!I44,0)</f>
        <v>72</v>
      </c>
      <c r="J70" s="1" t="n">
        <f aca="false">IFERROR(MAX('Chart Data'!J$25:J$46)-'Chart Data'!J44,0)</f>
        <v>72</v>
      </c>
      <c r="K70" s="1" t="n">
        <f aca="false">IFERROR(MAX('Chart Data'!K$25:K$46)-'Chart Data'!K44,0)</f>
        <v>72</v>
      </c>
      <c r="L70" s="1" t="n">
        <f aca="false">IFERROR(MAX('Chart Data'!L$25:L$46)-'Chart Data'!L44,0)</f>
        <v>72</v>
      </c>
      <c r="M70" s="1" t="n">
        <f aca="false">IFERROR(MAX('Chart Data'!M$25:M$46)-'Chart Data'!M44,0)</f>
        <v>72</v>
      </c>
      <c r="N70" s="1" t="n">
        <f aca="false">IFERROR(MAX('Chart Data'!N$25:N$46)-'Chart Data'!N44,0)</f>
        <v>72</v>
      </c>
      <c r="O70" s="1" t="n">
        <f aca="false">IFERROR(MAX('Chart Data'!O$25:O$46)-'Chart Data'!O44,0)</f>
        <v>72</v>
      </c>
      <c r="P70" s="1" t="n">
        <f aca="false">IFERROR(MAX('Chart Data'!P$25:P$46)-'Chart Data'!P44,0)</f>
        <v>72</v>
      </c>
      <c r="Q70" s="1" t="n">
        <f aca="false">IFERROR(MAX('Chart Data'!Q$25:Q$46)-'Chart Data'!Q44,0)</f>
        <v>72</v>
      </c>
      <c r="R70" s="1" t="n">
        <f aca="false">IFERROR(MAX('Chart Data'!R$25:R$46)-'Chart Data'!R44,0)</f>
        <v>52</v>
      </c>
      <c r="S70" s="1" t="n">
        <f aca="false">IFERROR(MAX('Chart Data'!S$25:S$46)-'Chart Data'!S44,0)</f>
        <v>52</v>
      </c>
      <c r="T70" s="1" t="n">
        <f aca="false">IFERROR(MAX('Chart Data'!T$25:T$46)-'Chart Data'!T44,0)</f>
        <v>52</v>
      </c>
      <c r="U70" s="1" t="n">
        <f aca="false">IFERROR(MAX('Chart Data'!U$25:U$46)-'Chart Data'!U44,0)</f>
        <v>52</v>
      </c>
      <c r="V70" s="1" t="n">
        <f aca="false">IFERROR(MAX('Chart Data'!V$25:V$46)-'Chart Data'!V44,0)</f>
        <v>52</v>
      </c>
      <c r="W70" s="1" t="n">
        <f aca="false">IFERROR(MAX('Chart Data'!W$25:W$46)-'Chart Data'!W44,0)</f>
        <v>52</v>
      </c>
      <c r="X70" s="1" t="n">
        <f aca="false">IFERROR(MAX('Chart Data'!X$25:X$46)-'Chart Data'!X44,0)</f>
        <v>52</v>
      </c>
      <c r="Y70" s="1" t="n">
        <f aca="false">IFERROR(MAX('Chart Data'!Y$25:Y$46)-'Chart Data'!Y44,0)</f>
        <v>52</v>
      </c>
    </row>
    <row r="71" customFormat="false" ht="14.25" hidden="false" customHeight="true" outlineLevel="0" collapsed="false">
      <c r="A71" s="1" t="s">
        <v>116</v>
      </c>
      <c r="B71" s="1" t="n">
        <f aca="false">IFERROR(MAX('Chart Data'!B$25:B$46)-'Chart Data'!B45,0)</f>
        <v>25</v>
      </c>
      <c r="C71" s="1" t="n">
        <f aca="false">IFERROR(MAX('Chart Data'!C$25:C$46)-'Chart Data'!C45,0)</f>
        <v>51</v>
      </c>
      <c r="D71" s="1" t="n">
        <f aca="false">IFERROR(MAX('Chart Data'!D$25:D$46)-'Chart Data'!D45,0)</f>
        <v>72</v>
      </c>
      <c r="E71" s="1" t="n">
        <f aca="false">IFERROR(MAX('Chart Data'!E$25:E$46)-'Chart Data'!E45,0)</f>
        <v>72</v>
      </c>
      <c r="F71" s="1" t="n">
        <f aca="false">IFERROR(MAX('Chart Data'!F$25:F$46)-'Chart Data'!F45,0)</f>
        <v>72</v>
      </c>
      <c r="G71" s="1" t="n">
        <f aca="false">IFERROR(MAX('Chart Data'!G$25:G$46)-'Chart Data'!G45,0)</f>
        <v>72</v>
      </c>
      <c r="H71" s="1" t="n">
        <f aca="false">IFERROR(MAX('Chart Data'!H$25:H$46)-'Chart Data'!H45,0)</f>
        <v>72</v>
      </c>
      <c r="I71" s="1" t="n">
        <f aca="false">IFERROR(MAX('Chart Data'!I$25:I$46)-'Chart Data'!I45,0)</f>
        <v>72</v>
      </c>
      <c r="J71" s="1" t="n">
        <f aca="false">IFERROR(MAX('Chart Data'!J$25:J$46)-'Chart Data'!J45,0)</f>
        <v>72</v>
      </c>
      <c r="K71" s="1" t="n">
        <f aca="false">IFERROR(MAX('Chart Data'!K$25:K$46)-'Chart Data'!K45,0)</f>
        <v>72</v>
      </c>
      <c r="L71" s="1" t="n">
        <f aca="false">IFERROR(MAX('Chart Data'!L$25:L$46)-'Chart Data'!L45,0)</f>
        <v>72</v>
      </c>
      <c r="M71" s="1" t="n">
        <f aca="false">IFERROR(MAX('Chart Data'!M$25:M$46)-'Chart Data'!M45,0)</f>
        <v>72</v>
      </c>
      <c r="N71" s="1" t="n">
        <f aca="false">IFERROR(MAX('Chart Data'!N$25:N$46)-'Chart Data'!N45,0)</f>
        <v>72</v>
      </c>
      <c r="O71" s="1" t="n">
        <f aca="false">IFERROR(MAX('Chart Data'!O$25:O$46)-'Chart Data'!O45,0)</f>
        <v>72</v>
      </c>
      <c r="P71" s="1" t="n">
        <f aca="false">IFERROR(MAX('Chart Data'!P$25:P$46)-'Chart Data'!P45,0)</f>
        <v>72</v>
      </c>
      <c r="Q71" s="1" t="n">
        <f aca="false">IFERROR(MAX('Chart Data'!Q$25:Q$46)-'Chart Data'!Q45,0)</f>
        <v>72</v>
      </c>
      <c r="R71" s="1" t="n">
        <f aca="false">IFERROR(MAX('Chart Data'!R$25:R$46)-'Chart Data'!R45,0)</f>
        <v>52</v>
      </c>
      <c r="S71" s="1" t="n">
        <f aca="false">IFERROR(MAX('Chart Data'!S$25:S$46)-'Chart Data'!S45,0)</f>
        <v>52</v>
      </c>
      <c r="T71" s="1" t="n">
        <f aca="false">IFERROR(MAX('Chart Data'!T$25:T$46)-'Chart Data'!T45,0)</f>
        <v>52</v>
      </c>
      <c r="U71" s="1" t="n">
        <f aca="false">IFERROR(MAX('Chart Data'!U$25:U$46)-'Chart Data'!U45,0)</f>
        <v>52</v>
      </c>
      <c r="V71" s="1" t="n">
        <f aca="false">IFERROR(MAX('Chart Data'!V$25:V$46)-'Chart Data'!V45,0)</f>
        <v>52</v>
      </c>
      <c r="W71" s="1" t="n">
        <f aca="false">IFERROR(MAX('Chart Data'!W$25:W$46)-'Chart Data'!W45,0)</f>
        <v>52</v>
      </c>
      <c r="X71" s="1" t="n">
        <f aca="false">IFERROR(MAX('Chart Data'!X$25:X$46)-'Chart Data'!X45,0)</f>
        <v>52</v>
      </c>
      <c r="Y71" s="1" t="n">
        <f aca="false">IFERROR(MAX('Chart Data'!Y$25:Y$46)-'Chart Data'!Y45,0)</f>
        <v>52</v>
      </c>
    </row>
    <row r="72" customFormat="false" ht="14.25" hidden="false" customHeight="true" outlineLevel="0" collapsed="false">
      <c r="A72" s="1" t="s">
        <v>118</v>
      </c>
      <c r="B72" s="1" t="n">
        <f aca="false">IFERROR(MAX('Chart Data'!B$25:B$46)-'Chart Data'!B46,0)</f>
        <v>25</v>
      </c>
      <c r="C72" s="1" t="n">
        <f aca="false">IFERROR(MAX('Chart Data'!C$25:C$46)-'Chart Data'!C46,0)</f>
        <v>51</v>
      </c>
      <c r="D72" s="1" t="n">
        <f aca="false">IFERROR(MAX('Chart Data'!D$25:D$46)-'Chart Data'!D46,0)</f>
        <v>72</v>
      </c>
      <c r="E72" s="1" t="n">
        <f aca="false">IFERROR(MAX('Chart Data'!E$25:E$46)-'Chart Data'!E46,0)</f>
        <v>72</v>
      </c>
      <c r="F72" s="1" t="n">
        <f aca="false">IFERROR(MAX('Chart Data'!F$25:F$46)-'Chart Data'!F46,0)</f>
        <v>72</v>
      </c>
      <c r="G72" s="1" t="n">
        <f aca="false">IFERROR(MAX('Chart Data'!G$25:G$46)-'Chart Data'!G46,0)</f>
        <v>72</v>
      </c>
      <c r="H72" s="1" t="n">
        <f aca="false">IFERROR(MAX('Chart Data'!H$25:H$46)-'Chart Data'!H46,0)</f>
        <v>72</v>
      </c>
      <c r="I72" s="1" t="n">
        <f aca="false">IFERROR(MAX('Chart Data'!I$25:I$46)-'Chart Data'!I46,0)</f>
        <v>72</v>
      </c>
      <c r="J72" s="1" t="n">
        <f aca="false">IFERROR(MAX('Chart Data'!J$25:J$46)-'Chart Data'!J46,0)</f>
        <v>72</v>
      </c>
      <c r="K72" s="1" t="n">
        <f aca="false">IFERROR(MAX('Chart Data'!K$25:K$46)-'Chart Data'!K46,0)</f>
        <v>72</v>
      </c>
      <c r="L72" s="1" t="n">
        <f aca="false">IFERROR(MAX('Chart Data'!L$25:L$46)-'Chart Data'!L46,0)</f>
        <v>72</v>
      </c>
      <c r="M72" s="1" t="n">
        <f aca="false">IFERROR(MAX('Chart Data'!M$25:M$46)-'Chart Data'!M46,0)</f>
        <v>72</v>
      </c>
      <c r="N72" s="1" t="n">
        <f aca="false">IFERROR(MAX('Chart Data'!N$25:N$46)-'Chart Data'!N46,0)</f>
        <v>72</v>
      </c>
      <c r="O72" s="1" t="n">
        <f aca="false">IFERROR(MAX('Chart Data'!O$25:O$46)-'Chart Data'!O46,0)</f>
        <v>72</v>
      </c>
      <c r="P72" s="1" t="n">
        <f aca="false">IFERROR(MAX('Chart Data'!P$25:P$46)-'Chart Data'!P46,0)</f>
        <v>72</v>
      </c>
      <c r="Q72" s="1" t="n">
        <f aca="false">IFERROR(MAX('Chart Data'!Q$25:Q$46)-'Chart Data'!Q46,0)</f>
        <v>72</v>
      </c>
      <c r="R72" s="1" t="n">
        <f aca="false">IFERROR(MAX('Chart Data'!R$25:R$46)-'Chart Data'!R46,0)</f>
        <v>52</v>
      </c>
      <c r="S72" s="1" t="n">
        <f aca="false">IFERROR(MAX('Chart Data'!S$25:S$46)-'Chart Data'!S46,0)</f>
        <v>52</v>
      </c>
      <c r="T72" s="1" t="n">
        <f aca="false">IFERROR(MAX('Chart Data'!T$25:T$46)-'Chart Data'!T46,0)</f>
        <v>52</v>
      </c>
      <c r="U72" s="1" t="n">
        <f aca="false">IFERROR(MAX('Chart Data'!U$25:U$46)-'Chart Data'!U46,0)</f>
        <v>52</v>
      </c>
      <c r="V72" s="1" t="n">
        <f aca="false">IFERROR(MAX('Chart Data'!V$25:V$46)-'Chart Data'!V46,0)</f>
        <v>52</v>
      </c>
      <c r="W72" s="1" t="n">
        <f aca="false">IFERROR(MAX('Chart Data'!W$25:W$46)-'Chart Data'!W46,0)</f>
        <v>52</v>
      </c>
      <c r="X72" s="1" t="n">
        <f aca="false">IFERROR(MAX('Chart Data'!X$25:X$46)-'Chart Data'!X46,0)</f>
        <v>52</v>
      </c>
      <c r="Y72" s="1" t="n">
        <f aca="false">IFERROR(MAX('Chart Data'!Y$25:Y$46)-'Chart Data'!Y46,0)</f>
        <v>52</v>
      </c>
    </row>
  </sheetData>
  <sheetProtection sheet="true" password="c7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2026-03-16T17:36:40Z</dcterms:created>
  <dc:creator>openpyxl</dc:creator>
  <dc:description/>
  <dc:language>en-US</dc:language>
  <cp:lastModifiedBy/>
  <dcterms:modified xsi:type="dcterms:W3CDTF">2026-04-03T02:54:45Z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