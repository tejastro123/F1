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◼ Cover" sheetId="1" r:id="rId1"/>
    <sheet name="📊 Dashboard" sheetId="2" r:id="rId2"/>
    <sheet name="🏎 Drivers" sheetId="3" r:id="rId3"/>
    <sheet name="🏗 Constructors" sheetId="4" r:id="rId4"/>
    <sheet name="🗓 Calendar" sheetId="5" r:id="rId5"/>
    <sheet name="🎯 Predic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workbookViewId="0" rightToLeft="0"/>
  </sheetViews>
  <sheetData>
    <row r="8">
      <c r="B8" s="1" t="str">
        <v>FORMULA  1</v>
      </c>
    </row>
    <row r="10">
      <c r="B10" s="1" t="str">
        <v>2026 SEASON  ·  OFFICIAL TRACKER</v>
      </c>
    </row>
    <row r="12">
      <c r="B12" s="1" t="str">
        <v>Live Standings  ·  Race Calendar  ·  Predictions  ·  Stats</v>
      </c>
    </row>
    <row r="16">
      <c r="B16" s="1" t="str">
        <v>22</v>
      </c>
      <c r="E16" s="1" t="str">
        <v>11</v>
      </c>
      <c r="H16" s="1" t="str">
        <v>24</v>
      </c>
      <c r="K16" s="1" t="str">
        <v>6</v>
      </c>
    </row>
    <row r="17">
      <c r="B17" s="1" t="str">
        <v>DRIVERS</v>
      </c>
      <c r="E17" s="1" t="str">
        <v>TEAMS</v>
      </c>
      <c r="H17" s="1" t="str">
        <v>RACES</v>
      </c>
      <c r="K17" s="1" t="str">
        <v>SPRINTS</v>
      </c>
    </row>
    <row r="20">
      <c r="B20" s="1" t="str">
        <v>NAVIGATION  GUIDE</v>
      </c>
    </row>
    <row r="21">
      <c r="B21" s="1" t="str">
        <v>📊  Dashboard</v>
      </c>
      <c r="C21" s="1" t="str">
        <v>High-level season overview with live KPIs and charts</v>
      </c>
    </row>
    <row r="22">
      <c r="B22" s="1" t="str">
        <v>🏎  Driver Standings</v>
      </c>
      <c r="C22" s="1" t="str">
        <v>Full 22-driver championship table with progress bars</v>
      </c>
    </row>
    <row r="23">
      <c r="B23" s="1" t="str">
        <v>🏗  Constructor Standings</v>
      </c>
      <c r="C23" s="1" t="str">
        <v>Team championship with points breakdown</v>
      </c>
    </row>
    <row r="24">
      <c r="B24" s="1" t="str">
        <v>🗓  Race Calendar</v>
      </c>
      <c r="C24" s="1" t="str">
        <v>All 24 rounds — flag, venue, date and podium results</v>
      </c>
    </row>
    <row r="25">
      <c r="B25" s="1" t="str">
        <v>🎯  Predictions</v>
      </c>
      <c r="C25" s="1" t="str">
        <v>Per-race prediction tracker with scoring</v>
      </c>
    </row>
    <row r="34">
      <c r="B34" s="1" t="str">
        <v>All data updated after Round 1  ·  Australia 2026</v>
      </c>
    </row>
  </sheetData>
  <mergeCells count="15">
    <mergeCell ref="B8:L8"/>
    <mergeCell ref="B9:L9"/>
    <mergeCell ref="B10:L10"/>
    <mergeCell ref="B11:L11"/>
    <mergeCell ref="B12:L12"/>
    <mergeCell ref="B16:C16"/>
    <mergeCell ref="E16:F16"/>
    <mergeCell ref="H16:I16"/>
    <mergeCell ref="K16:L16"/>
    <mergeCell ref="B17:C17"/>
    <mergeCell ref="E17:F17"/>
    <mergeCell ref="H17:I17"/>
    <mergeCell ref="K17:L17"/>
    <mergeCell ref="B20:L20"/>
    <mergeCell ref="B34:L34"/>
  </mergeCells>
  <pageMargins left="0.75" right="0.75" top="1" bottom="1" header="0.511811023622047" footer="0.511811023622047"/>
  <ignoredErrors>
    <ignoredError numberStoredAsText="1" sqref="A1:M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0"/>
  <sheetViews>
    <sheetView workbookViewId="0" rightToLeft="0"/>
  </sheetViews>
  <sheetData>
    <row r="2">
      <c r="A2" s="1" t="str">
        <v>🏆  F1 2026 SEASON DASHBOARD</v>
      </c>
    </row>
    <row r="6">
      <c r="B6" s="1">
        <f>'🏎 Drivers'!D3</f>
        <v>0</v>
      </c>
      <c r="D6" s="1">
        <f>'🏎 Drivers'!C3</f>
        <v>0</v>
      </c>
      <c r="H6" s="1">
        <f>COUNTA('🗓 Calendar'!F6:F29)</f>
        <v>24</v>
      </c>
      <c r="J6" s="1">
        <f>24-COUNTA('🗓 Calendar'!F6:F29)</f>
        <v>0</v>
      </c>
    </row>
    <row r="7">
      <c r="B7" s="1" t="str">
        <v>PTS LEADER</v>
      </c>
      <c r="D7" s="1" t="str">
        <v>CHAMPIONSHIP</v>
      </c>
      <c r="H7" s="1" t="str">
        <v>RACES DONE</v>
      </c>
      <c r="J7" s="1" t="str">
        <v>REMAINING</v>
      </c>
    </row>
    <row r="10">
      <c r="B10" s="1" t="str">
        <v>🏎  DRIVER STANDINGS — TOP 5</v>
      </c>
      <c r="H10" s="1" t="str">
        <v>📉  POINTS GAP TO LEADER</v>
      </c>
    </row>
    <row r="11">
      <c r="B11" s="1" t="str">
        <v>#</v>
      </c>
      <c r="C11" s="1" t="str">
        <v>DRIVER</v>
      </c>
      <c r="D11" s="1" t="str">
        <v>TEAM</v>
      </c>
      <c r="E11" s="1" t="str">
        <v>PTS</v>
      </c>
      <c r="F11" s="1" t="str">
        <v>WINS</v>
      </c>
      <c r="H11" s="1" t="str">
        <v>#</v>
      </c>
      <c r="I11" s="1" t="str">
        <v>DRIVER</v>
      </c>
      <c r="J11" s="1" t="str">
        <v>PTS</v>
      </c>
      <c r="K11" s="1" t="str">
        <v>GAP</v>
      </c>
      <c r="L11" s="1" t="str">
        <v>BAR</v>
      </c>
    </row>
    <row r="12">
      <c r="B12" s="1">
        <v>1</v>
      </c>
      <c r="C12" s="1" t="str">
        <v>George Russell</v>
      </c>
      <c r="D12" s="1" t="str">
        <v>Mercedes</v>
      </c>
      <c r="E12" s="1">
        <v>25</v>
      </c>
      <c r="F12" s="1">
        <v>1</v>
      </c>
      <c r="H12" s="1">
        <v>1</v>
      </c>
      <c r="I12" s="1" t="str">
        <v>George Russell</v>
      </c>
      <c r="J12" s="1">
        <v>25</v>
      </c>
      <c r="K12" s="1" t="str">
        <v>—</v>
      </c>
      <c r="L12" s="1" t="str">
        <v>██████████</v>
      </c>
    </row>
    <row r="13">
      <c r="B13" s="1">
        <v>2</v>
      </c>
      <c r="C13" s="1" t="str">
        <v>Kimi Antonelli</v>
      </c>
      <c r="D13" s="1" t="str">
        <v>Mercedes</v>
      </c>
      <c r="E13" s="1">
        <v>18</v>
      </c>
      <c r="F13" s="1">
        <v>0</v>
      </c>
      <c r="H13" s="1">
        <v>2</v>
      </c>
      <c r="I13" s="1" t="str">
        <v>Kimi Antonelli</v>
      </c>
      <c r="J13" s="1">
        <v>18</v>
      </c>
      <c r="K13" s="1">
        <v>-7</v>
      </c>
      <c r="L13" s="1" t="str">
        <v>███████░░░</v>
      </c>
    </row>
    <row r="14">
      <c r="B14" s="1">
        <v>3</v>
      </c>
      <c r="C14" s="1" t="str">
        <v>Charles Leclerc</v>
      </c>
      <c r="D14" s="1" t="str">
        <v>Ferrari</v>
      </c>
      <c r="E14" s="1">
        <v>15</v>
      </c>
      <c r="F14" s="1">
        <v>0</v>
      </c>
      <c r="H14" s="1">
        <v>3</v>
      </c>
      <c r="I14" s="1" t="str">
        <v>Charles Leclerc</v>
      </c>
      <c r="J14" s="1">
        <v>15</v>
      </c>
      <c r="K14" s="1">
        <v>-10</v>
      </c>
      <c r="L14" s="1" t="str">
        <v>██████░░░░</v>
      </c>
    </row>
    <row r="15">
      <c r="B15" s="1">
        <v>4</v>
      </c>
      <c r="C15" s="1" t="str">
        <v>Lewis Hamilton</v>
      </c>
      <c r="D15" s="1" t="str">
        <v>Ferrari</v>
      </c>
      <c r="E15" s="1">
        <v>12</v>
      </c>
      <c r="F15" s="1">
        <v>0</v>
      </c>
      <c r="H15" s="1">
        <v>4</v>
      </c>
      <c r="I15" s="1" t="str">
        <v>Lewis Hamilton</v>
      </c>
      <c r="J15" s="1">
        <v>12</v>
      </c>
      <c r="K15" s="1">
        <v>-13</v>
      </c>
      <c r="L15" s="1" t="str">
        <v>████░░░░░░</v>
      </c>
    </row>
    <row r="16">
      <c r="B16" s="1">
        <v>5</v>
      </c>
      <c r="C16" s="1" t="str">
        <v>Lando Norris</v>
      </c>
      <c r="D16" s="1" t="str">
        <v>McLaren</v>
      </c>
      <c r="E16" s="1">
        <v>10</v>
      </c>
      <c r="F16" s="1">
        <v>0</v>
      </c>
      <c r="H16" s="1">
        <v>5</v>
      </c>
      <c r="I16" s="1" t="str">
        <v>Lando Norris</v>
      </c>
      <c r="J16" s="1">
        <v>10</v>
      </c>
      <c r="K16" s="1">
        <v>-15</v>
      </c>
      <c r="L16" s="1" t="str">
        <v>████░░░░░░</v>
      </c>
    </row>
    <row r="19">
      <c r="B19" s="1" t="str">
        <v>🏗  CONSTRUCTOR STANDINGS — TOP 5</v>
      </c>
      <c r="H19" s="1" t="str">
        <v>📌  SEASON MILESTONES</v>
      </c>
    </row>
    <row r="20">
      <c r="B20" s="1" t="str">
        <v>#</v>
      </c>
      <c r="C20" s="1" t="str">
        <v>CONSTRUCTOR</v>
      </c>
      <c r="D20" s="1" t="str">
        <v>POINTS</v>
      </c>
      <c r="E20" s="1" t="str">
        <v>WINS</v>
      </c>
      <c r="F20" s="1" t="str">
        <v>PODS</v>
      </c>
      <c r="I20" s="1" t="str">
        <v>Total Points Awarded</v>
      </c>
      <c r="J20" s="1">
        <f>SUM('🏎 Drivers'!D3:D24)</f>
        <v>0</v>
      </c>
    </row>
    <row r="21">
      <c r="B21" s="1">
        <v>1</v>
      </c>
      <c r="C21" s="1" t="str">
        <v>Mercedes</v>
      </c>
      <c r="D21" s="1">
        <v>43</v>
      </c>
      <c r="E21" s="1">
        <v>1</v>
      </c>
      <c r="F21" s="1">
        <v>2</v>
      </c>
      <c r="I21" s="1" t="str">
        <v>Races Completed</v>
      </c>
      <c r="J21" s="1">
        <f>COUNTA('🗓 Calendar'!F6:F29)</f>
        <v>24</v>
      </c>
    </row>
    <row r="22">
      <c r="B22" s="1">
        <v>2</v>
      </c>
      <c r="C22" s="1" t="str">
        <v>Ferrari</v>
      </c>
      <c r="D22" s="1">
        <v>27</v>
      </c>
      <c r="E22" s="1">
        <v>0</v>
      </c>
      <c r="F22" s="1">
        <v>1</v>
      </c>
      <c r="I22" s="1" t="str">
        <v>Races Remaining</v>
      </c>
      <c r="J22" s="1">
        <f>24-COUNTA('🗓 Calendar'!F6:F29)</f>
        <v>0</v>
      </c>
    </row>
    <row r="23">
      <c r="B23" s="1">
        <v>3</v>
      </c>
      <c r="C23" s="1" t="str">
        <v>McLaren</v>
      </c>
      <c r="D23" s="1">
        <v>10</v>
      </c>
      <c r="E23" s="1">
        <v>0</v>
      </c>
      <c r="F23" s="1">
        <v>0</v>
      </c>
      <c r="I23" s="1" t="str">
        <v>Championship Leader</v>
      </c>
      <c r="J23" s="1">
        <f>'🏎 Drivers'!C3</f>
        <v>0</v>
      </c>
    </row>
    <row r="24">
      <c r="B24" s="1">
        <v>4</v>
      </c>
      <c r="C24" s="1" t="str">
        <v>Red Bull</v>
      </c>
      <c r="D24" s="1">
        <v>8</v>
      </c>
      <c r="E24" s="1">
        <v>0</v>
      </c>
      <c r="F24" s="1">
        <v>0</v>
      </c>
      <c r="I24" s="1" t="str">
        <v>2nd Place Driver</v>
      </c>
      <c r="J24" s="1" t="str">
        <f>'🏎 Drivers'!C4</f>
        <v>DRIVER</v>
      </c>
    </row>
    <row r="25">
      <c r="B25" s="1">
        <v>5</v>
      </c>
      <c r="C25" s="1" t="str">
        <v>Haas</v>
      </c>
      <c r="D25" s="1">
        <v>6</v>
      </c>
      <c r="E25" s="1">
        <v>0</v>
      </c>
      <c r="F25" s="1">
        <v>0</v>
      </c>
      <c r="I25" s="1" t="str">
        <v>Top Constructor</v>
      </c>
      <c r="J25" s="1">
        <f>'🏗 Constructors'!B3</f>
        <v>0</v>
      </c>
    </row>
    <row r="28">
      <c r="B28" s="1" t="str">
        <v>🏁  LATEST RACE RESULT</v>
      </c>
    </row>
    <row r="29">
      <c r="B29" s="1" t="str">
        <v>Round 1  ·  Australian Grand Prix  ·  Melbourne</v>
      </c>
    </row>
    <row r="30">
      <c r="B30" s="1" t="str">
        <v>🥇  P1</v>
      </c>
      <c r="C30" s="1" t="str">
        <f>'🗓 Calendar'!F6</f>
        <v>George Russell</v>
      </c>
    </row>
    <row r="31">
      <c r="B31" s="1" t="str">
        <v>🥈  P2</v>
      </c>
      <c r="C31" s="1" t="str">
        <f>'🗓 Calendar'!G6</f>
        <v>Kimi Antonelli</v>
      </c>
    </row>
    <row r="32">
      <c r="B32" s="1" t="str">
        <v>🥉  P3</v>
      </c>
      <c r="C32" s="1" t="str">
        <f>'🗓 Calendar'!G6</f>
        <v>Kimi Antonelli</v>
      </c>
    </row>
  </sheetData>
  <mergeCells count="24">
    <mergeCell ref="A2:M2"/>
    <mergeCell ref="B6:C6"/>
    <mergeCell ref="D6:E6"/>
    <mergeCell ref="H6:I6"/>
    <mergeCell ref="J6:K6"/>
    <mergeCell ref="B7:C7"/>
    <mergeCell ref="D7:E7"/>
    <mergeCell ref="H7:I7"/>
    <mergeCell ref="J7:K7"/>
    <mergeCell ref="B10:F10"/>
    <mergeCell ref="H10:L10"/>
    <mergeCell ref="B19:F19"/>
    <mergeCell ref="H19:L19"/>
    <mergeCell ref="J20:L20"/>
    <mergeCell ref="J21:L21"/>
    <mergeCell ref="J22:L22"/>
    <mergeCell ref="J23:L23"/>
    <mergeCell ref="J24:L24"/>
    <mergeCell ref="J25:L25"/>
    <mergeCell ref="B28:F28"/>
    <mergeCell ref="B29:F29"/>
    <mergeCell ref="C30:F30"/>
    <mergeCell ref="C31:F31"/>
    <mergeCell ref="C32:F32"/>
  </mergeCells>
  <pageMargins left="0.75" right="0.75" top="1" bottom="1" header="0.511811023622047" footer="0.511811023622047"/>
  <ignoredErrors>
    <ignoredError numberStoredAsText="1" sqref="A1:M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0"/>
  <sheetViews>
    <sheetView workbookViewId="0" rightToLeft="0"/>
  </sheetViews>
  <sheetData>
    <row r="2">
      <c r="A2" s="1" t="str">
        <v>🏎   DRIVERS CHAMPIONSHIP  —  2026 FORMULA 1</v>
      </c>
    </row>
    <row r="4">
      <c r="B4" s="1" t="str">
        <v>POS</v>
      </c>
      <c r="C4" s="1" t="str">
        <v>DRIVER</v>
      </c>
      <c r="D4" s="1" t="str">
        <v>NAT</v>
      </c>
      <c r="E4" s="1" t="str">
        <v>TEAM</v>
      </c>
      <c r="F4" s="1" t="str">
        <v>PTS</v>
      </c>
      <c r="G4" s="1" t="str">
        <v>WINS</v>
      </c>
      <c r="H4" s="1" t="str">
        <v>PODS</v>
      </c>
      <c r="I4" s="1" t="str">
        <v>GRID</v>
      </c>
    </row>
    <row r="5">
      <c r="B5" s="1">
        <v>1</v>
      </c>
      <c r="C5" s="1" t="str">
        <v>George Russell</v>
      </c>
      <c r="D5" s="1" t="str">
        <v>GBR</v>
      </c>
      <c r="E5" s="1" t="str">
        <v>Mercedes</v>
      </c>
      <c r="F5" s="1">
        <v>25</v>
      </c>
      <c r="G5" s="1">
        <v>1</v>
      </c>
      <c r="H5" s="1">
        <v>1</v>
      </c>
      <c r="I5" s="1">
        <v>1</v>
      </c>
    </row>
    <row r="6">
      <c r="B6" s="1">
        <v>2</v>
      </c>
      <c r="C6" s="1" t="str">
        <v>Kimi Antonelli</v>
      </c>
      <c r="D6" s="1" t="str">
        <v>ITA</v>
      </c>
      <c r="E6" s="1" t="str">
        <v>Mercedes</v>
      </c>
      <c r="F6" s="1">
        <v>18</v>
      </c>
      <c r="G6" s="1">
        <v>0</v>
      </c>
      <c r="H6" s="1">
        <v>1</v>
      </c>
      <c r="I6" s="1">
        <v>1</v>
      </c>
    </row>
    <row r="7">
      <c r="B7" s="1">
        <v>3</v>
      </c>
      <c r="C7" s="1" t="str">
        <v>Charles Leclerc</v>
      </c>
      <c r="D7" s="1" t="str">
        <v>MCO</v>
      </c>
      <c r="E7" s="1" t="str">
        <v>Ferrari</v>
      </c>
      <c r="F7" s="1">
        <v>15</v>
      </c>
      <c r="G7" s="1">
        <v>0</v>
      </c>
      <c r="H7" s="1">
        <v>1</v>
      </c>
      <c r="I7" s="1">
        <v>2</v>
      </c>
    </row>
    <row r="8">
      <c r="B8" s="1">
        <v>4</v>
      </c>
      <c r="C8" s="1" t="str">
        <v>Lewis Hamilton</v>
      </c>
      <c r="D8" s="1" t="str">
        <v>GBR</v>
      </c>
      <c r="E8" s="1" t="str">
        <v>Ferrari</v>
      </c>
      <c r="F8" s="1">
        <v>12</v>
      </c>
      <c r="G8" s="1">
        <v>0</v>
      </c>
      <c r="H8" s="1">
        <v>0</v>
      </c>
      <c r="I8" s="1">
        <v>4</v>
      </c>
    </row>
    <row r="9">
      <c r="B9" s="1">
        <v>5</v>
      </c>
      <c r="C9" s="1" t="str">
        <v>Lando Norris</v>
      </c>
      <c r="D9" s="1" t="str">
        <v>GBR</v>
      </c>
      <c r="E9" s="1" t="str">
        <v>McLaren</v>
      </c>
      <c r="F9" s="1">
        <v>10</v>
      </c>
      <c r="G9" s="1">
        <v>0</v>
      </c>
      <c r="H9" s="1">
        <v>0</v>
      </c>
      <c r="I9" s="1">
        <v>5</v>
      </c>
    </row>
    <row r="10">
      <c r="B10" s="1">
        <v>6</v>
      </c>
      <c r="C10" s="1" t="str">
        <v>Max Verstappen</v>
      </c>
      <c r="D10" s="1" t="str">
        <v>NLD</v>
      </c>
      <c r="E10" s="1" t="str">
        <v>Red Bull</v>
      </c>
      <c r="F10" s="1">
        <v>8</v>
      </c>
      <c r="G10" s="1">
        <v>0</v>
      </c>
      <c r="H10" s="1">
        <v>0</v>
      </c>
      <c r="I10" s="1">
        <v>6</v>
      </c>
    </row>
    <row r="11">
      <c r="B11" s="1">
        <v>7</v>
      </c>
      <c r="C11" s="1" t="str">
        <v>Oliver Bearman</v>
      </c>
      <c r="D11" s="1" t="str">
        <v>GBR</v>
      </c>
      <c r="E11" s="1" t="str">
        <v>Haas</v>
      </c>
      <c r="F11" s="1">
        <v>6</v>
      </c>
      <c r="G11" s="1">
        <v>0</v>
      </c>
      <c r="H11" s="1">
        <v>0</v>
      </c>
      <c r="I11" s="1">
        <v>7</v>
      </c>
    </row>
    <row r="12">
      <c r="B12" s="1">
        <v>8</v>
      </c>
      <c r="C12" s="1" t="str">
        <v>Arvid Lindblad</v>
      </c>
      <c r="D12" s="1" t="str">
        <v>SWE</v>
      </c>
      <c r="E12" s="1" t="str">
        <v>RB</v>
      </c>
      <c r="F12" s="1">
        <v>4</v>
      </c>
      <c r="G12" s="1">
        <v>0</v>
      </c>
      <c r="H12" s="1">
        <v>0</v>
      </c>
      <c r="I12" s="1">
        <v>8</v>
      </c>
    </row>
    <row r="13">
      <c r="B13" s="1">
        <v>9</v>
      </c>
      <c r="C13" s="1" t="str">
        <v>Gabriel Bortoleto</v>
      </c>
      <c r="D13" s="1" t="str">
        <v>BRA</v>
      </c>
      <c r="E13" s="1" t="str">
        <v>Audi</v>
      </c>
      <c r="F13" s="1">
        <v>2</v>
      </c>
      <c r="G13" s="1">
        <v>0</v>
      </c>
      <c r="H13" s="1">
        <v>0</v>
      </c>
      <c r="I13" s="1">
        <v>9</v>
      </c>
    </row>
    <row r="14">
      <c r="B14" s="1">
        <v>10</v>
      </c>
      <c r="C14" s="1" t="str">
        <v>Pierre Gasly</v>
      </c>
      <c r="D14" s="1" t="str">
        <v>FRA</v>
      </c>
      <c r="E14" s="1" t="str">
        <v>Alpine</v>
      </c>
      <c r="F14" s="1">
        <v>1</v>
      </c>
      <c r="G14" s="1">
        <v>0</v>
      </c>
      <c r="H14" s="1">
        <v>0</v>
      </c>
      <c r="I14" s="1">
        <v>10</v>
      </c>
    </row>
    <row r="15">
      <c r="B15" s="1">
        <v>11</v>
      </c>
      <c r="C15" s="1" t="str">
        <v>Esteban Ocon</v>
      </c>
      <c r="D15" s="1" t="str">
        <v>FRA</v>
      </c>
      <c r="E15" s="1" t="str">
        <v>Haas</v>
      </c>
      <c r="F15" s="1">
        <v>0</v>
      </c>
      <c r="G15" s="1">
        <v>0</v>
      </c>
      <c r="H15" s="1">
        <v>0</v>
      </c>
      <c r="I15" s="1">
        <v>11</v>
      </c>
    </row>
    <row r="16">
      <c r="B16" s="1">
        <v>12</v>
      </c>
      <c r="C16" s="1" t="str">
        <v>Alexander Albon</v>
      </c>
      <c r="D16" s="1" t="str">
        <v>THA</v>
      </c>
      <c r="E16" s="1" t="str">
        <v>Williams</v>
      </c>
      <c r="F16" s="1">
        <v>0</v>
      </c>
      <c r="G16" s="1">
        <v>0</v>
      </c>
      <c r="H16" s="1">
        <v>0</v>
      </c>
      <c r="I16" s="1">
        <v>12</v>
      </c>
    </row>
    <row r="17">
      <c r="B17" s="1">
        <v>13</v>
      </c>
      <c r="C17" s="1" t="str">
        <v>Liam Lawson</v>
      </c>
      <c r="D17" s="1" t="str">
        <v>NZL</v>
      </c>
      <c r="E17" s="1" t="str">
        <v>RB</v>
      </c>
      <c r="F17" s="1">
        <v>0</v>
      </c>
      <c r="G17" s="1">
        <v>0</v>
      </c>
      <c r="H17" s="1">
        <v>0</v>
      </c>
      <c r="I17" s="1">
        <v>13</v>
      </c>
    </row>
    <row r="18">
      <c r="B18" s="1">
        <v>14</v>
      </c>
      <c r="C18" s="1" t="str">
        <v>Franco Colapinto</v>
      </c>
      <c r="D18" s="1" t="str">
        <v>ARG</v>
      </c>
      <c r="E18" s="1" t="str">
        <v>Alpine</v>
      </c>
      <c r="F18" s="1">
        <v>0</v>
      </c>
      <c r="G18" s="1">
        <v>0</v>
      </c>
      <c r="H18" s="1">
        <v>0</v>
      </c>
      <c r="I18" s="1">
        <v>14</v>
      </c>
    </row>
    <row r="19">
      <c r="B19" s="1">
        <v>15</v>
      </c>
      <c r="C19" s="1" t="str">
        <v>Carlos Sainz Jr.</v>
      </c>
      <c r="D19" s="1" t="str">
        <v>ESP</v>
      </c>
      <c r="E19" s="1" t="str">
        <v>Williams</v>
      </c>
      <c r="F19" s="1">
        <v>0</v>
      </c>
      <c r="G19" s="1">
        <v>0</v>
      </c>
      <c r="H19" s="1">
        <v>0</v>
      </c>
      <c r="I19" s="1">
        <v>15</v>
      </c>
    </row>
    <row r="20">
      <c r="B20" s="1">
        <v>16</v>
      </c>
      <c r="C20" s="1" t="str">
        <v>Sergio Pérez</v>
      </c>
      <c r="D20" s="1" t="str">
        <v>MEX</v>
      </c>
      <c r="E20" s="1" t="str">
        <v>Cadillac</v>
      </c>
      <c r="F20" s="1">
        <v>0</v>
      </c>
      <c r="G20" s="1">
        <v>0</v>
      </c>
      <c r="H20" s="1">
        <v>0</v>
      </c>
      <c r="I20" s="1">
        <v>16</v>
      </c>
    </row>
    <row r="21">
      <c r="B21" s="1">
        <v>17</v>
      </c>
      <c r="C21" s="1" t="str">
        <v>Isack Hadjar</v>
      </c>
      <c r="D21" s="1" t="str">
        <v>FRA</v>
      </c>
      <c r="E21" s="1" t="str">
        <v>Red Bull</v>
      </c>
      <c r="F21" s="1">
        <v>0</v>
      </c>
      <c r="G21" s="1">
        <v>0</v>
      </c>
      <c r="H21" s="1">
        <v>0</v>
      </c>
      <c r="I21" s="1">
        <v>17</v>
      </c>
    </row>
    <row r="22">
      <c r="B22" s="1">
        <v>18</v>
      </c>
      <c r="C22" s="1" t="str">
        <v>Oscar Piastri</v>
      </c>
      <c r="D22" s="1" t="str">
        <v>AUS</v>
      </c>
      <c r="E22" s="1" t="str">
        <v>McLaren</v>
      </c>
      <c r="F22" s="1">
        <v>0</v>
      </c>
      <c r="G22" s="1">
        <v>0</v>
      </c>
      <c r="H22" s="1">
        <v>0</v>
      </c>
      <c r="I22" s="1">
        <v>18</v>
      </c>
    </row>
    <row r="23">
      <c r="B23" s="1">
        <v>19</v>
      </c>
      <c r="C23" s="1" t="str">
        <v>Nico Hülkenberg</v>
      </c>
      <c r="D23" s="1" t="str">
        <v>DEU</v>
      </c>
      <c r="E23" s="1" t="str">
        <v>Audi</v>
      </c>
      <c r="F23" s="1">
        <v>0</v>
      </c>
      <c r="G23" s="1">
        <v>0</v>
      </c>
      <c r="H23" s="1">
        <v>0</v>
      </c>
      <c r="I23" s="1">
        <v>19</v>
      </c>
    </row>
    <row r="24">
      <c r="B24" s="1">
        <v>20</v>
      </c>
      <c r="C24" s="1" t="str">
        <v>Fernando Alonso</v>
      </c>
      <c r="D24" s="1" t="str">
        <v>ESP</v>
      </c>
      <c r="E24" s="1" t="str">
        <v>Aston Martin</v>
      </c>
      <c r="F24" s="1">
        <v>0</v>
      </c>
      <c r="G24" s="1">
        <v>0</v>
      </c>
      <c r="H24" s="1">
        <v>0</v>
      </c>
      <c r="I24" s="1">
        <v>20</v>
      </c>
    </row>
    <row r="25">
      <c r="B25" s="1">
        <v>21</v>
      </c>
      <c r="C25" s="1" t="str">
        <v>Valtteri Bottas</v>
      </c>
      <c r="D25" s="1" t="str">
        <v>FIN</v>
      </c>
      <c r="E25" s="1" t="str">
        <v>Cadillac</v>
      </c>
      <c r="F25" s="1">
        <v>0</v>
      </c>
      <c r="G25" s="1">
        <v>0</v>
      </c>
      <c r="H25" s="1">
        <v>0</v>
      </c>
      <c r="I25" s="1">
        <v>21</v>
      </c>
    </row>
    <row r="26">
      <c r="B26" s="1">
        <v>22</v>
      </c>
      <c r="C26" s="1" t="str">
        <v>Lance Stroll</v>
      </c>
      <c r="D26" s="1" t="str">
        <v>CAN</v>
      </c>
      <c r="E26" s="1" t="str">
        <v>Aston Martin</v>
      </c>
      <c r="F26" s="1">
        <v>0</v>
      </c>
      <c r="G26" s="1">
        <v>0</v>
      </c>
      <c r="H26" s="1">
        <v>0</v>
      </c>
      <c r="I26" s="1">
        <v>22</v>
      </c>
    </row>
    <row r="27">
      <c r="C27" s="1" t="str">
        <v>TOTALS</v>
      </c>
      <c r="F27" s="1">
        <f>SUM(F5:F26)</f>
        <v>101</v>
      </c>
      <c r="G27" s="1">
        <f>SUM(G5:G26)</f>
        <v>1</v>
      </c>
      <c r="H27" s="1">
        <f>SUM(H5:H26)</f>
        <v>3</v>
      </c>
    </row>
  </sheetData>
  <mergeCells count="2">
    <mergeCell ref="A2:J2"/>
    <mergeCell ref="C27:E27"/>
  </mergeCells>
  <pageMargins left="0.75" right="0.75" top="1" bottom="1" header="0.511811023622047" footer="0.511811023622047"/>
  <ignoredErrors>
    <ignoredError numberStoredAsText="1" sqref="A1: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5"/>
  <sheetViews>
    <sheetView workbookViewId="0" rightToLeft="0"/>
  </sheetViews>
  <sheetData>
    <row r="2">
      <c r="A2" s="1" t="str">
        <v>🏗   CONSTRUCTORS CHAMPIONSHIP  —  2026 FORMULA 1</v>
      </c>
    </row>
    <row r="4">
      <c r="B4" s="1" t="str">
        <v>POS</v>
      </c>
      <c r="C4" s="1" t="str">
        <v>CONSTRUCTOR</v>
      </c>
      <c r="D4" s="1" t="str">
        <v>POINTS</v>
      </c>
      <c r="E4" s="1" t="str">
        <v>WINS</v>
      </c>
      <c r="F4" s="1" t="str">
        <v>PODIUMS</v>
      </c>
    </row>
    <row r="5">
      <c r="B5" s="1">
        <v>1</v>
      </c>
      <c r="C5" s="1" t="str">
        <v>Mercedes</v>
      </c>
      <c r="D5" s="1">
        <v>43</v>
      </c>
      <c r="E5" s="1">
        <v>1</v>
      </c>
      <c r="F5" s="1">
        <v>2</v>
      </c>
    </row>
    <row r="6">
      <c r="B6" s="1">
        <v>2</v>
      </c>
      <c r="C6" s="1" t="str">
        <v>Ferrari</v>
      </c>
      <c r="D6" s="1">
        <v>27</v>
      </c>
      <c r="E6" s="1">
        <v>0</v>
      </c>
      <c r="F6" s="1">
        <v>1</v>
      </c>
    </row>
    <row r="7">
      <c r="B7" s="1">
        <v>3</v>
      </c>
      <c r="C7" s="1" t="str">
        <v>McLaren</v>
      </c>
      <c r="D7" s="1">
        <v>10</v>
      </c>
      <c r="E7" s="1">
        <v>0</v>
      </c>
      <c r="F7" s="1">
        <v>0</v>
      </c>
    </row>
    <row r="8">
      <c r="B8" s="1">
        <v>4</v>
      </c>
      <c r="C8" s="1" t="str">
        <v>Red Bull</v>
      </c>
      <c r="D8" s="1">
        <v>8</v>
      </c>
      <c r="E8" s="1">
        <v>0</v>
      </c>
      <c r="F8" s="1">
        <v>0</v>
      </c>
    </row>
    <row r="9">
      <c r="B9" s="1">
        <v>5</v>
      </c>
      <c r="C9" s="1" t="str">
        <v>Haas</v>
      </c>
      <c r="D9" s="1">
        <v>6</v>
      </c>
      <c r="E9" s="1">
        <v>0</v>
      </c>
      <c r="F9" s="1">
        <v>0</v>
      </c>
    </row>
    <row r="10">
      <c r="B10" s="1">
        <v>6</v>
      </c>
      <c r="C10" s="1" t="str">
        <v>RB</v>
      </c>
      <c r="D10" s="1">
        <v>4</v>
      </c>
      <c r="E10" s="1">
        <v>0</v>
      </c>
      <c r="F10" s="1">
        <v>0</v>
      </c>
    </row>
    <row r="11">
      <c r="B11" s="1">
        <v>7</v>
      </c>
      <c r="C11" s="1" t="str">
        <v>Audi</v>
      </c>
      <c r="D11" s="1">
        <v>2</v>
      </c>
      <c r="E11" s="1">
        <v>0</v>
      </c>
      <c r="F11" s="1">
        <v>0</v>
      </c>
    </row>
    <row r="12">
      <c r="B12" s="1">
        <v>8</v>
      </c>
      <c r="C12" s="1" t="str">
        <v>Alpine</v>
      </c>
      <c r="D12" s="1">
        <v>1</v>
      </c>
      <c r="E12" s="1">
        <v>0</v>
      </c>
      <c r="F12" s="1">
        <v>0</v>
      </c>
    </row>
    <row r="13">
      <c r="B13" s="1">
        <v>9</v>
      </c>
      <c r="C13" s="1" t="str">
        <v>Williams</v>
      </c>
      <c r="D13" s="1">
        <v>0</v>
      </c>
      <c r="E13" s="1">
        <v>0</v>
      </c>
      <c r="F13" s="1">
        <v>0</v>
      </c>
    </row>
    <row r="14">
      <c r="B14" s="1">
        <v>10</v>
      </c>
      <c r="C14" s="1" t="str">
        <v>Cadillac</v>
      </c>
      <c r="D14" s="1">
        <v>0</v>
      </c>
      <c r="E14" s="1">
        <v>0</v>
      </c>
      <c r="F14" s="1">
        <v>0</v>
      </c>
    </row>
    <row r="15">
      <c r="B15" s="1">
        <v>11</v>
      </c>
      <c r="C15" s="1" t="str">
        <v>Aston Martin</v>
      </c>
      <c r="D15" s="1">
        <v>0</v>
      </c>
      <c r="E15" s="1">
        <v>0</v>
      </c>
      <c r="F15" s="1">
        <v>0</v>
      </c>
    </row>
  </sheetData>
  <mergeCells count="1">
    <mergeCell ref="A2:G2"/>
  </mergeCells>
  <pageMargins left="0.75" right="0.75" top="1" bottom="1" header="0.511811023622047" footer="0.511811023622047"/>
  <ignoredErrors>
    <ignoredError numberStoredAsText="1" sqref="A1:G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5"/>
  <sheetViews>
    <sheetView workbookViewId="0" rightToLeft="0"/>
  </sheetViews>
  <sheetData>
    <row r="2">
      <c r="A2" s="1" t="str">
        <v>🗓   2026 F1 RACE CALENDAR  &amp;  RESULTS</v>
      </c>
    </row>
    <row r="4">
      <c r="A4" s="1" t="str">
        <v>24 GRANDS PRIX  ·  6 SPRINT WEEKENDS  ·  SEASON IN PROGRESS</v>
      </c>
    </row>
    <row r="5">
      <c r="A5" s="1" t="str">
        <v>RD</v>
      </c>
      <c r="C5" s="1" t="str">
        <v>GRAND PRIX</v>
      </c>
      <c r="D5" s="1" t="str">
        <v>DATE</v>
      </c>
      <c r="E5" s="1" t="str">
        <v>VENUE</v>
      </c>
      <c r="F5" s="1" t="str">
        <v>WINNER P1</v>
      </c>
      <c r="G5" s="1" t="str">
        <v>P2</v>
      </c>
      <c r="H5" s="1" t="str">
        <v>P3</v>
      </c>
    </row>
    <row r="6">
      <c r="A6" s="1">
        <v>1</v>
      </c>
      <c r="B6" s="1" t="str">
        <v>🇦🇺</v>
      </c>
      <c r="C6" s="1" t="str">
        <v>Australian GP</v>
      </c>
      <c r="D6" s="1" t="str">
        <v>Mar 08</v>
      </c>
      <c r="E6" s="1" t="str">
        <v>Melbourne</v>
      </c>
      <c r="F6" s="1" t="str">
        <v>George Russell</v>
      </c>
      <c r="G6" s="1" t="str">
        <v>Kimi Antonelli</v>
      </c>
      <c r="H6" s="1" t="str">
        <v>Charles Leclerc</v>
      </c>
    </row>
    <row r="7">
      <c r="A7" s="1">
        <v>2</v>
      </c>
      <c r="B7" s="1" t="str">
        <v>🇨🇳</v>
      </c>
      <c r="C7" s="1" t="str">
        <v>Chinese GP</v>
      </c>
      <c r="D7" s="1" t="str">
        <v>Mar 15</v>
      </c>
      <c r="E7" s="1" t="str">
        <v>Shanghai</v>
      </c>
      <c r="F7" s="1" t="str">
        <v>—</v>
      </c>
      <c r="G7" s="1" t="str">
        <v>—</v>
      </c>
      <c r="H7" s="1" t="str">
        <v>—</v>
      </c>
    </row>
    <row r="8">
      <c r="A8" s="1">
        <v>3</v>
      </c>
      <c r="B8" s="1" t="str">
        <v>🇯🇵</v>
      </c>
      <c r="C8" s="1" t="str">
        <v>Japanese GP</v>
      </c>
      <c r="D8" s="1" t="str">
        <v>Mar 29</v>
      </c>
      <c r="E8" s="1" t="str">
        <v>Suzuka</v>
      </c>
      <c r="F8" s="1" t="str">
        <v>—</v>
      </c>
      <c r="G8" s="1" t="str">
        <v>—</v>
      </c>
      <c r="H8" s="1" t="str">
        <v>—</v>
      </c>
    </row>
    <row r="9">
      <c r="A9" s="1">
        <v>4</v>
      </c>
      <c r="B9" s="1" t="str">
        <v>🇧🇭</v>
      </c>
      <c r="C9" s="1" t="str">
        <v>Bahrain GP</v>
      </c>
      <c r="D9" s="1" t="str">
        <v>Apr 12</v>
      </c>
      <c r="E9" s="1" t="str">
        <v>Sakhir</v>
      </c>
      <c r="F9" s="1" t="str">
        <v>—</v>
      </c>
      <c r="G9" s="1" t="str">
        <v>—</v>
      </c>
      <c r="H9" s="1" t="str">
        <v>—</v>
      </c>
    </row>
    <row r="10">
      <c r="A10" s="1">
        <v>5</v>
      </c>
      <c r="B10" s="1" t="str">
        <v>🇸🇦</v>
      </c>
      <c r="C10" s="1" t="str">
        <v>Saudi Arabian GP</v>
      </c>
      <c r="D10" s="1" t="str">
        <v>Apr 19</v>
      </c>
      <c r="E10" s="1" t="str">
        <v>Jeddah</v>
      </c>
      <c r="F10" s="1" t="str">
        <v>—</v>
      </c>
      <c r="G10" s="1" t="str">
        <v>—</v>
      </c>
      <c r="H10" s="1" t="str">
        <v>—</v>
      </c>
    </row>
    <row r="11">
      <c r="A11" s="1">
        <v>6</v>
      </c>
      <c r="B11" s="1" t="str">
        <v>🇦🇪</v>
      </c>
      <c r="C11" s="1" t="str">
        <v>Abu Dhabi Sprint</v>
      </c>
      <c r="D11" s="1" t="str">
        <v>May 03</v>
      </c>
      <c r="E11" s="1" t="str">
        <v>Yas Marina</v>
      </c>
      <c r="F11" s="1" t="str">
        <v>—</v>
      </c>
      <c r="G11" s="1" t="str">
        <v>—</v>
      </c>
      <c r="H11" s="1" t="str">
        <v>—</v>
      </c>
    </row>
    <row r="12">
      <c r="A12" s="1">
        <v>7</v>
      </c>
      <c r="B12" s="1" t="str">
        <v>🇺🇸</v>
      </c>
      <c r="C12" s="1" t="str">
        <v>Miami GP</v>
      </c>
      <c r="D12" s="1" t="str">
        <v>May 24</v>
      </c>
      <c r="E12" s="1" t="str">
        <v>Miami</v>
      </c>
      <c r="F12" s="1" t="str">
        <v>—</v>
      </c>
      <c r="G12" s="1" t="str">
        <v>—</v>
      </c>
      <c r="H12" s="1" t="str">
        <v>—</v>
      </c>
    </row>
    <row r="13">
      <c r="A13" s="1">
        <v>8</v>
      </c>
      <c r="B13" s="1" t="str">
        <v>🇨🇦</v>
      </c>
      <c r="C13" s="1" t="str">
        <v>Canadian GP</v>
      </c>
      <c r="D13" s="1" t="str">
        <v>Jun 07</v>
      </c>
      <c r="E13" s="1" t="str">
        <v>Montréal</v>
      </c>
      <c r="F13" s="1" t="str">
        <v>—</v>
      </c>
      <c r="G13" s="1" t="str">
        <v>—</v>
      </c>
      <c r="H13" s="1" t="str">
        <v>—</v>
      </c>
    </row>
    <row r="14">
      <c r="A14" s="1">
        <v>9</v>
      </c>
      <c r="B14" s="1" t="str">
        <v>🇲🇨</v>
      </c>
      <c r="C14" s="1" t="str">
        <v>Monaco GP</v>
      </c>
      <c r="D14" s="1" t="str">
        <v>Jun 14</v>
      </c>
      <c r="E14" s="1" t="str">
        <v>Monte Carlo</v>
      </c>
      <c r="F14" s="1" t="str">
        <v>—</v>
      </c>
      <c r="G14" s="1" t="str">
        <v>—</v>
      </c>
      <c r="H14" s="1" t="str">
        <v>—</v>
      </c>
    </row>
    <row r="15">
      <c r="A15" s="1">
        <v>10</v>
      </c>
      <c r="B15" s="1" t="str">
        <v>🇪🇸</v>
      </c>
      <c r="C15" s="1" t="str">
        <v>Spanish GP</v>
      </c>
      <c r="D15" s="1" t="str">
        <v>Jun 28</v>
      </c>
      <c r="E15" s="1" t="str">
        <v>Barcelona</v>
      </c>
      <c r="F15" s="1" t="str">
        <v>—</v>
      </c>
      <c r="G15" s="1" t="str">
        <v>—</v>
      </c>
      <c r="H15" s="1" t="str">
        <v>—</v>
      </c>
    </row>
    <row r="16">
      <c r="A16" s="1">
        <v>11</v>
      </c>
      <c r="B16" s="1" t="str">
        <v>🇦🇹</v>
      </c>
      <c r="C16" s="1" t="str">
        <v>Austrian GP</v>
      </c>
      <c r="D16" s="1" t="str">
        <v>Jul 05</v>
      </c>
      <c r="E16" s="1" t="str">
        <v>Spielberg</v>
      </c>
      <c r="F16" s="1" t="str">
        <v>—</v>
      </c>
      <c r="G16" s="1" t="str">
        <v>—</v>
      </c>
      <c r="H16" s="1" t="str">
        <v>—</v>
      </c>
    </row>
    <row r="17">
      <c r="A17" s="1">
        <v>12</v>
      </c>
      <c r="B17" s="1" t="str">
        <v>🇬🇧</v>
      </c>
      <c r="C17" s="1" t="str">
        <v>British GP</v>
      </c>
      <c r="D17" s="1" t="str">
        <v>Jul 19</v>
      </c>
      <c r="E17" s="1" t="str">
        <v>Silverstone</v>
      </c>
      <c r="F17" s="1" t="str">
        <v>—</v>
      </c>
      <c r="G17" s="1" t="str">
        <v>—</v>
      </c>
      <c r="H17" s="1" t="str">
        <v>—</v>
      </c>
    </row>
    <row r="18">
      <c r="A18" s="1">
        <v>13</v>
      </c>
      <c r="B18" s="1" t="str">
        <v>🇧🇪</v>
      </c>
      <c r="C18" s="1" t="str">
        <v>Belgian GP</v>
      </c>
      <c r="D18" s="1" t="str">
        <v>Jul 26</v>
      </c>
      <c r="E18" s="1" t="str">
        <v>Spa</v>
      </c>
      <c r="F18" s="1" t="str">
        <v>—</v>
      </c>
      <c r="G18" s="1" t="str">
        <v>—</v>
      </c>
      <c r="H18" s="1" t="str">
        <v>—</v>
      </c>
    </row>
    <row r="19">
      <c r="A19" s="1">
        <v>14</v>
      </c>
      <c r="B19" s="1" t="str">
        <v>🇭🇺</v>
      </c>
      <c r="C19" s="1" t="str">
        <v>Hungarian GP</v>
      </c>
      <c r="D19" s="1" t="str">
        <v>Aug 23</v>
      </c>
      <c r="E19" s="1" t="str">
        <v>Budapest</v>
      </c>
      <c r="F19" s="1" t="str">
        <v>—</v>
      </c>
      <c r="G19" s="1" t="str">
        <v>—</v>
      </c>
      <c r="H19" s="1" t="str">
        <v>—</v>
      </c>
    </row>
    <row r="20">
      <c r="A20" s="1">
        <v>15</v>
      </c>
      <c r="B20" s="1" t="str">
        <v>🇳🇱</v>
      </c>
      <c r="C20" s="1" t="str">
        <v>Dutch GP</v>
      </c>
      <c r="D20" s="1" t="str">
        <v>Sep 06</v>
      </c>
      <c r="E20" s="1" t="str">
        <v>Zandvoort</v>
      </c>
      <c r="F20" s="1" t="str">
        <v>—</v>
      </c>
      <c r="G20" s="1" t="str">
        <v>—</v>
      </c>
      <c r="H20" s="1" t="str">
        <v>—</v>
      </c>
    </row>
    <row r="21">
      <c r="A21" s="1">
        <v>16</v>
      </c>
      <c r="B21" s="1" t="str">
        <v>🇮🇹</v>
      </c>
      <c r="C21" s="1" t="str">
        <v>Italian GP</v>
      </c>
      <c r="D21" s="1" t="str">
        <v>Sep 13</v>
      </c>
      <c r="E21" s="1" t="str">
        <v>Monza</v>
      </c>
      <c r="F21" s="1" t="str">
        <v>—</v>
      </c>
      <c r="G21" s="1" t="str">
        <v>—</v>
      </c>
      <c r="H21" s="1" t="str">
        <v>—</v>
      </c>
    </row>
    <row r="22">
      <c r="A22" s="1">
        <v>17</v>
      </c>
      <c r="B22" s="1" t="str">
        <v>🇦🇿</v>
      </c>
      <c r="C22" s="1" t="str">
        <v>Azerbaijan GP</v>
      </c>
      <c r="D22" s="1" t="str">
        <v>Sep 26</v>
      </c>
      <c r="E22" s="1" t="str">
        <v>Baku</v>
      </c>
      <c r="F22" s="1" t="str">
        <v>—</v>
      </c>
      <c r="G22" s="1" t="str">
        <v>—</v>
      </c>
      <c r="H22" s="1" t="str">
        <v>—</v>
      </c>
    </row>
    <row r="23">
      <c r="A23" s="1">
        <v>18</v>
      </c>
      <c r="B23" s="1" t="str">
        <v>🇸🇬</v>
      </c>
      <c r="C23" s="1" t="str">
        <v>Singapore GP</v>
      </c>
      <c r="D23" s="1" t="str">
        <v>Oct 11</v>
      </c>
      <c r="E23" s="1" t="str">
        <v>Singapore</v>
      </c>
      <c r="F23" s="1" t="str">
        <v>—</v>
      </c>
      <c r="G23" s="1" t="str">
        <v>—</v>
      </c>
      <c r="H23" s="1" t="str">
        <v>—</v>
      </c>
    </row>
    <row r="24">
      <c r="A24" s="1">
        <v>19</v>
      </c>
      <c r="B24" s="1" t="str">
        <v>🇺🇸</v>
      </c>
      <c r="C24" s="1" t="str">
        <v>United States GP</v>
      </c>
      <c r="D24" s="1" t="str">
        <v>Oct 25</v>
      </c>
      <c r="E24" s="1" t="str">
        <v>Austin</v>
      </c>
      <c r="F24" s="1" t="str">
        <v>—</v>
      </c>
      <c r="G24" s="1" t="str">
        <v>—</v>
      </c>
      <c r="H24" s="1" t="str">
        <v>—</v>
      </c>
    </row>
    <row r="25">
      <c r="A25" s="1">
        <v>20</v>
      </c>
      <c r="B25" s="1" t="str">
        <v>🇲🇽</v>
      </c>
      <c r="C25" s="1" t="str">
        <v>Mexican GP</v>
      </c>
      <c r="D25" s="1" t="str">
        <v>Nov 01</v>
      </c>
      <c r="E25" s="1" t="str">
        <v>Mexico City</v>
      </c>
      <c r="F25" s="1" t="str">
        <v>—</v>
      </c>
      <c r="G25" s="1" t="str">
        <v>—</v>
      </c>
      <c r="H25" s="1" t="str">
        <v>—</v>
      </c>
    </row>
    <row r="26">
      <c r="A26" s="1">
        <v>21</v>
      </c>
      <c r="B26" s="1" t="str">
        <v>🇧🇷</v>
      </c>
      <c r="C26" s="1" t="str">
        <v>Brazilian GP</v>
      </c>
      <c r="D26" s="1" t="str">
        <v>Nov 08</v>
      </c>
      <c r="E26" s="1" t="str">
        <v>São Paulo</v>
      </c>
      <c r="F26" s="1" t="str">
        <v>—</v>
      </c>
      <c r="G26" s="1" t="str">
        <v>—</v>
      </c>
      <c r="H26" s="1" t="str">
        <v>—</v>
      </c>
    </row>
    <row r="27">
      <c r="A27" s="1">
        <v>22</v>
      </c>
      <c r="B27" s="1" t="str">
        <v>🇺🇸</v>
      </c>
      <c r="C27" s="1" t="str">
        <v>Las Vegas GP</v>
      </c>
      <c r="D27" s="1" t="str">
        <v>Nov 21</v>
      </c>
      <c r="E27" s="1" t="str">
        <v>Las Vegas</v>
      </c>
      <c r="F27" s="1" t="str">
        <v>—</v>
      </c>
      <c r="G27" s="1" t="str">
        <v>—</v>
      </c>
      <c r="H27" s="1" t="str">
        <v>—</v>
      </c>
    </row>
    <row r="28">
      <c r="A28" s="1">
        <v>23</v>
      </c>
      <c r="B28" s="1" t="str">
        <v>🇶🇦</v>
      </c>
      <c r="C28" s="1" t="str">
        <v>Qatar GP</v>
      </c>
      <c r="D28" s="1" t="str">
        <v>Nov 29</v>
      </c>
      <c r="E28" s="1" t="str">
        <v>Lusail</v>
      </c>
      <c r="F28" s="1" t="str">
        <v>—</v>
      </c>
      <c r="G28" s="1" t="str">
        <v>—</v>
      </c>
      <c r="H28" s="1" t="str">
        <v>—</v>
      </c>
    </row>
    <row r="29">
      <c r="A29" s="1">
        <v>24</v>
      </c>
      <c r="B29" s="1" t="str">
        <v>🇦🇪</v>
      </c>
      <c r="C29" s="1" t="str">
        <v>Abu Dhabi GP</v>
      </c>
      <c r="D29" s="1" t="str">
        <v>Dec 06</v>
      </c>
      <c r="E29" s="1" t="str">
        <v>Yas Marina</v>
      </c>
      <c r="F29" s="1" t="str">
        <v>—</v>
      </c>
      <c r="G29" s="1" t="str">
        <v>—</v>
      </c>
      <c r="H29" s="1" t="str">
        <v>—</v>
      </c>
    </row>
    <row r="30">
      <c r="A30" s="1" t="str">
        <f>COUNTA(F6:F29)&amp;" of 24 races completed"</f>
        <v>24 of 24 races completed</v>
      </c>
      <c r="E30" s="1" t="str">
        <f>24-COUNTA(F6:F29)&amp;" races remaining in 2026 season"</f>
        <v>0 races remaining in 2026 season</v>
      </c>
    </row>
  </sheetData>
  <mergeCells count="5">
    <mergeCell ref="A2:I2"/>
    <mergeCell ref="A4:I4"/>
    <mergeCell ref="A5:B5"/>
    <mergeCell ref="A30:D30"/>
    <mergeCell ref="E30:I30"/>
  </mergeCells>
  <pageMargins left="0.75" right="0.75" top="1" bottom="1" header="0.511811023622047" footer="0.511811023622047"/>
  <ignoredErrors>
    <ignoredError numberStoredAsText="1" sqref="A1:I5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0"/>
  <sheetViews>
    <sheetView workbookViewId="0" rightToLeft="0"/>
  </sheetViews>
  <sheetData>
    <row r="2">
      <c r="A2" s="1" t="str">
        <v>🎯   RACE PREDICTIONS  —  TRACKER</v>
      </c>
    </row>
    <row r="4">
      <c r="A4" s="1" t="str">
        <v>ROUND 2  ·  CHINA</v>
      </c>
      <c r="C4" s="1" t="str">
        <v>Shanghai International Circuit  ·  March 2026</v>
      </c>
    </row>
    <row r="5">
      <c r="A5" s="1" t="str">
        <v>CATEGORY</v>
      </c>
      <c r="B5" s="1" t="str">
        <v>YOUR PREDICTION</v>
      </c>
      <c r="C5" s="1" t="str">
        <v>ACTUAL RESULT</v>
      </c>
      <c r="D5" s="1" t="str">
        <v>STATUS</v>
      </c>
      <c r="E5" s="1" t="str">
        <v>%</v>
      </c>
    </row>
    <row r="6">
      <c r="A6" s="1" t="str">
        <v>🌟 Good Surprise</v>
      </c>
      <c r="B6" s="1" t="str">
        <v>MAX POLE</v>
      </c>
      <c r="C6" s="1" t="str">
        <v>TBD</v>
      </c>
      <c r="D6" s="1" t="str">
        <v>⏳  PENDING</v>
      </c>
    </row>
    <row r="7">
      <c r="A7" s="1" t="str">
        <v>💥 Big Flop</v>
      </c>
      <c r="B7" s="1" t="str">
        <v>NORRIS CRASH</v>
      </c>
      <c r="C7" s="1" t="str">
        <v>TBD</v>
      </c>
      <c r="D7" s="1" t="str">
        <v>⏳  PENDING</v>
      </c>
    </row>
    <row r="8">
      <c r="A8" s="1" t="str">
        <v>⚡ Sprint Pole</v>
      </c>
      <c r="B8" s="1" t="str">
        <v>MAX VERSTAPPEN</v>
      </c>
      <c r="C8" s="1" t="str">
        <v>TBD</v>
      </c>
      <c r="D8" s="1" t="str">
        <v>⏳  PENDING</v>
      </c>
    </row>
    <row r="9">
      <c r="A9" s="1" t="str">
        <v>🏎 Sprint Win</v>
      </c>
      <c r="B9" s="1" t="str">
        <v>MAX VERSTAPPEN</v>
      </c>
      <c r="C9" s="1" t="str">
        <v>TBD</v>
      </c>
      <c r="D9" s="1" t="str">
        <v>⏳  PENDING</v>
      </c>
    </row>
    <row r="10">
      <c r="A10" s="1" t="str">
        <v>🏁 GP Pole Position</v>
      </c>
      <c r="B10" s="1" t="str">
        <v>GEORGE RUSSELL</v>
      </c>
      <c r="C10" s="1" t="str">
        <v>TBD</v>
      </c>
      <c r="D10" s="1" t="str">
        <v>⏳  PENDING</v>
      </c>
    </row>
    <row r="11">
      <c r="A11" s="1" t="str">
        <v>🏆 GP Race Winner</v>
      </c>
      <c r="B11" s="1" t="str">
        <v>GEORGE RUSSELL</v>
      </c>
      <c r="C11" s="1" t="str">
        <v>TBD</v>
      </c>
      <c r="D11" s="1" t="str">
        <v>⏳  PENDING</v>
      </c>
    </row>
    <row r="12">
      <c r="A12" s="1" t="str">
        <v>🥉 Podium P3</v>
      </c>
      <c r="B12" s="1" t="str">
        <v>CHARLES LECLERC</v>
      </c>
      <c r="C12" s="1" t="str">
        <v>TBD</v>
      </c>
      <c r="D12" s="1" t="str">
        <v>⏳  PENDING</v>
      </c>
    </row>
    <row r="13">
      <c r="A13" s="1" t="str">
        <v>🥈 Podium P2</v>
      </c>
      <c r="B13" s="1" t="str">
        <v>MAX VERSTAPPEN</v>
      </c>
      <c r="C13" s="1" t="str">
        <v>TBD</v>
      </c>
      <c r="D13" s="1" t="str">
        <v>⏳  PENDING</v>
      </c>
    </row>
    <row r="14">
      <c r="A14" s="1" t="str">
        <v>🥇 Podium P1</v>
      </c>
      <c r="B14" s="1" t="str">
        <v>GEORGE RUSSELL</v>
      </c>
      <c r="C14" s="1" t="str">
        <v>TBD</v>
      </c>
      <c r="D14" s="1" t="str">
        <v>⏳  PENDING</v>
      </c>
    </row>
    <row r="15">
      <c r="A15" s="1" t="str">
        <v>❓ P-What? (longshot)</v>
      </c>
      <c r="B15" s="1" t="str">
        <v>P15 – ALONSO</v>
      </c>
      <c r="C15" s="1" t="str">
        <v>TBD</v>
      </c>
      <c r="D15" s="1" t="str">
        <v>⏳  PENDING</v>
      </c>
    </row>
    <row r="16">
      <c r="A16" s="1" t="str">
        <v>🤯 Crazy Call</v>
      </c>
      <c r="B16" s="1" t="str">
        <v>ARVIND vs MERCEDES</v>
      </c>
      <c r="C16" s="1" t="str">
        <v>CORRECT ✅</v>
      </c>
      <c r="D16" s="1" t="str">
        <v>✅  CORRECT</v>
      </c>
    </row>
    <row r="18">
      <c r="A18" s="1" t="str">
        <v>PREDICTION SCORE</v>
      </c>
      <c r="C18" s="1" t="str">
        <f>COUNTIF(D6:D16,"✅*")&amp;" / 11 correct"</f>
        <v>1 / 11 correct</v>
      </c>
      <c r="D18" s="1" t="str">
        <v>9% accuracy</v>
      </c>
    </row>
  </sheetData>
  <mergeCells count="5">
    <mergeCell ref="A2:F2"/>
    <mergeCell ref="A4:B4"/>
    <mergeCell ref="C4:F4"/>
    <mergeCell ref="A18:B18"/>
    <mergeCell ref="D18:E18"/>
  </mergeCells>
  <pageMargins left="0.75" right="0.75" top="1" bottom="1" header="0.511811023622047" footer="0.511811023622047"/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◼ Cover</vt:lpstr>
      <vt:lpstr>📊 Dashboard</vt:lpstr>
      <vt:lpstr>🏎 Drivers</vt:lpstr>
      <vt:lpstr>🏗 Constructors</vt:lpstr>
      <vt:lpstr>🗓 Calendar</vt:lpstr>
      <vt:lpstr>🎯 Predictions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2026-03-11T21:42:59Z</dcterms:created>
  <dcterms:modified xsi:type="dcterms:W3CDTF">2026-03-11T21:43:08Z</dcterms:modified>
  <cp:revision>1</cp:revision>
  <dc:creator>openpyxl</dc:creator>
  <dc:language>en-US</dc:language>
</cp:coreProperties>
</file>